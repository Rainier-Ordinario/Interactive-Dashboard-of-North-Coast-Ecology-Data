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4f7264704f430cd/Desktop/"/>
    </mc:Choice>
  </mc:AlternateContent>
  <xr:revisionPtr revIDLastSave="578" documentId="13_ncr:1_{0928090C-4CD8-42E8-8776-75271CA04D83}" xr6:coauthVersionLast="47" xr6:coauthVersionMax="47" xr10:uidLastSave="{9C654A55-5C80-4652-8766-D9219B57F8CE}"/>
  <bookViews>
    <workbookView xWindow="-98" yWindow="-98" windowWidth="21795" windowHeight="12975" xr2:uid="{00000000-000D-0000-FFFF-FFFF00000000}"/>
  </bookViews>
  <sheets>
    <sheet name="2025 Dashboard 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YDoimeDSTjwnZ3F48zpovrjkmXGZBpssIlAaqdHtw4="/>
    </ext>
  </extLst>
</workbook>
</file>

<file path=xl/calcChain.xml><?xml version="1.0" encoding="utf-8"?>
<calcChain xmlns="http://schemas.openxmlformats.org/spreadsheetml/2006/main">
  <c r="E100" i="3" l="1"/>
  <c r="E90" i="3"/>
  <c r="E76" i="3"/>
  <c r="E68" i="3"/>
  <c r="E52" i="3"/>
  <c r="E39" i="3"/>
  <c r="E30" i="3"/>
  <c r="E23" i="3"/>
  <c r="E6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4" i="3"/>
  <c r="G3" i="3"/>
  <c r="G2" i="3"/>
  <c r="X100" i="3"/>
  <c r="Q100" i="3"/>
  <c r="O100" i="3"/>
  <c r="X99" i="3"/>
  <c r="V99" i="3"/>
  <c r="O99" i="3"/>
  <c r="X98" i="3"/>
  <c r="O98" i="3"/>
  <c r="X96" i="3"/>
  <c r="V96" i="3"/>
  <c r="N96" i="3"/>
  <c r="X94" i="3"/>
  <c r="X93" i="3"/>
  <c r="V93" i="3"/>
  <c r="N93" i="3"/>
  <c r="X92" i="3"/>
  <c r="Q91" i="3"/>
  <c r="P91" i="3"/>
  <c r="O91" i="3"/>
  <c r="X90" i="3"/>
  <c r="V90" i="3"/>
  <c r="Q90" i="3"/>
  <c r="O90" i="3"/>
  <c r="X89" i="3"/>
  <c r="V89" i="3"/>
  <c r="Q89" i="3"/>
  <c r="P89" i="3"/>
  <c r="O89" i="3"/>
  <c r="X88" i="3"/>
  <c r="V88" i="3"/>
  <c r="P88" i="3"/>
  <c r="X87" i="3"/>
  <c r="Q87" i="3"/>
  <c r="X86" i="3"/>
  <c r="N86" i="3"/>
  <c r="X85" i="3"/>
  <c r="V85" i="3"/>
  <c r="R85" i="3"/>
  <c r="P85" i="3"/>
  <c r="O85" i="3"/>
  <c r="X84" i="3"/>
  <c r="V84" i="3"/>
  <c r="Q84" i="3"/>
  <c r="P84" i="3"/>
  <c r="O84" i="3"/>
  <c r="X83" i="3"/>
  <c r="V83" i="3"/>
  <c r="R83" i="3"/>
  <c r="Q83" i="3"/>
  <c r="P83" i="3"/>
  <c r="O83" i="3"/>
  <c r="X82" i="3"/>
  <c r="W82" i="3"/>
  <c r="V82" i="3"/>
  <c r="O82" i="3"/>
  <c r="N82" i="3"/>
  <c r="X81" i="3"/>
  <c r="R81" i="3"/>
  <c r="P81" i="3"/>
  <c r="X80" i="3"/>
  <c r="W80" i="3"/>
  <c r="Q80" i="3"/>
  <c r="O80" i="3"/>
  <c r="Q79" i="3"/>
  <c r="Q78" i="3"/>
  <c r="X75" i="3"/>
  <c r="R75" i="3"/>
  <c r="N75" i="3"/>
  <c r="X74" i="3"/>
  <c r="V74" i="3"/>
  <c r="Q74" i="3"/>
  <c r="O74" i="3"/>
  <c r="X73" i="3"/>
  <c r="V73" i="3"/>
  <c r="R73" i="3"/>
  <c r="Q73" i="3"/>
  <c r="O73" i="3"/>
  <c r="X72" i="3"/>
  <c r="V72" i="3"/>
  <c r="P72" i="3"/>
  <c r="O72" i="3"/>
  <c r="N72" i="3"/>
  <c r="X71" i="3"/>
  <c r="V71" i="3"/>
  <c r="U71" i="3"/>
  <c r="R71" i="3"/>
  <c r="Q71" i="3"/>
  <c r="O71" i="3"/>
  <c r="X68" i="3"/>
  <c r="V68" i="3"/>
  <c r="U68" i="3"/>
  <c r="R68" i="3"/>
  <c r="Q68" i="3"/>
  <c r="O68" i="3"/>
  <c r="X67" i="3"/>
  <c r="Q67" i="3"/>
  <c r="X66" i="3"/>
  <c r="Q66" i="3"/>
  <c r="X65" i="3"/>
  <c r="W65" i="3"/>
  <c r="Q65" i="3"/>
  <c r="P65" i="3"/>
  <c r="O65" i="3"/>
  <c r="X62" i="3"/>
  <c r="V62" i="3"/>
  <c r="Q62" i="3"/>
  <c r="O62" i="3"/>
  <c r="N62" i="3"/>
  <c r="X61" i="3"/>
  <c r="V61" i="3"/>
  <c r="U61" i="3"/>
  <c r="Q61" i="3"/>
  <c r="O61" i="3"/>
  <c r="X60" i="3"/>
  <c r="V60" i="3"/>
  <c r="S60" i="3"/>
  <c r="Q60" i="3"/>
  <c r="O60" i="3"/>
  <c r="X59" i="3"/>
  <c r="V59" i="3"/>
  <c r="Q59" i="3"/>
  <c r="P59" i="3"/>
  <c r="O59" i="3"/>
  <c r="X55" i="3"/>
  <c r="V55" i="3"/>
  <c r="Q55" i="3"/>
  <c r="O55" i="3"/>
  <c r="X54" i="3"/>
  <c r="W54" i="3"/>
  <c r="V54" i="3"/>
  <c r="U54" i="3"/>
  <c r="S54" i="3"/>
  <c r="Q54" i="3"/>
  <c r="P54" i="3"/>
  <c r="X53" i="3"/>
  <c r="W53" i="3"/>
  <c r="V53" i="3"/>
  <c r="R53" i="3"/>
  <c r="Q53" i="3"/>
  <c r="O53" i="3"/>
  <c r="X52" i="3"/>
  <c r="W52" i="3"/>
  <c r="V52" i="3"/>
  <c r="R52" i="3"/>
  <c r="N52" i="3"/>
  <c r="O50" i="3"/>
  <c r="X49" i="3"/>
  <c r="W49" i="3"/>
  <c r="V49" i="3"/>
  <c r="U49" i="3"/>
  <c r="R49" i="3"/>
  <c r="O49" i="3"/>
  <c r="N49" i="3"/>
  <c r="X48" i="3"/>
  <c r="O48" i="3"/>
  <c r="X47" i="3"/>
  <c r="V47" i="3"/>
  <c r="U47" i="3"/>
  <c r="Q47" i="3"/>
  <c r="O47" i="3"/>
  <c r="X46" i="3"/>
  <c r="V46" i="3"/>
  <c r="O46" i="3"/>
  <c r="N46" i="3"/>
  <c r="X43" i="3"/>
  <c r="O43" i="3"/>
  <c r="X42" i="3"/>
  <c r="V42" i="3"/>
  <c r="U42" i="3"/>
  <c r="P42" i="3"/>
  <c r="O42" i="3"/>
  <c r="X41" i="3"/>
  <c r="Q41" i="3"/>
  <c r="X40" i="3"/>
  <c r="W40" i="3"/>
  <c r="V40" i="3"/>
  <c r="Q40" i="3"/>
  <c r="X39" i="3"/>
  <c r="V39" i="3"/>
  <c r="U39" i="3"/>
  <c r="Q39" i="3"/>
  <c r="O39" i="3"/>
  <c r="O38" i="3"/>
  <c r="X37" i="3"/>
  <c r="V37" i="3"/>
  <c r="U37" i="3"/>
  <c r="Q37" i="3"/>
  <c r="O37" i="3"/>
  <c r="N37" i="3"/>
  <c r="X36" i="3"/>
  <c r="W36" i="3"/>
  <c r="V36" i="3"/>
  <c r="Q36" i="3"/>
  <c r="O36" i="3"/>
  <c r="X35" i="3"/>
  <c r="V35" i="3"/>
  <c r="Q35" i="3"/>
  <c r="P35" i="3"/>
  <c r="O35" i="3"/>
  <c r="X30" i="3"/>
  <c r="Q30" i="3"/>
  <c r="O30" i="3"/>
  <c r="X29" i="3"/>
  <c r="V29" i="3"/>
  <c r="O28" i="3"/>
  <c r="N27" i="3"/>
  <c r="X26" i="3"/>
  <c r="W26" i="3"/>
  <c r="V26" i="3"/>
  <c r="O26" i="3"/>
  <c r="O25" i="3"/>
  <c r="V24" i="3"/>
  <c r="O24" i="3"/>
  <c r="V19" i="3"/>
  <c r="O19" i="3"/>
  <c r="X13" i="3"/>
  <c r="V13" i="3"/>
  <c r="O13" i="3"/>
  <c r="N8" i="3"/>
  <c r="O7" i="3"/>
  <c r="O5" i="3"/>
  <c r="N3" i="3"/>
</calcChain>
</file>

<file path=xl/sharedStrings.xml><?xml version="1.0" encoding="utf-8"?>
<sst xmlns="http://schemas.openxmlformats.org/spreadsheetml/2006/main" count="212" uniqueCount="33">
  <si>
    <t>Cruise</t>
  </si>
  <si>
    <t>Local</t>
  </si>
  <si>
    <t>Day</t>
  </si>
  <si>
    <t>Date</t>
  </si>
  <si>
    <t>Northwest BC</t>
  </si>
  <si>
    <t>Other</t>
  </si>
  <si>
    <t>D/n pay - Family Pass</t>
  </si>
  <si>
    <t>Babies (0-3yrs)</t>
  </si>
  <si>
    <t>Child (4-12 yrs)</t>
  </si>
  <si>
    <t>Youth (13-18 yrs)</t>
  </si>
  <si>
    <t>Unwilling to pay/walked away</t>
  </si>
  <si>
    <t>Sponsors</t>
  </si>
  <si>
    <t>Y</t>
  </si>
  <si>
    <t>Classroom Visits</t>
  </si>
  <si>
    <t>Total Visitors</t>
  </si>
  <si>
    <t>Cruise Ship Day</t>
  </si>
  <si>
    <t>Rainy Day</t>
  </si>
  <si>
    <t>Total CAD</t>
  </si>
  <si>
    <t>Long Weekend</t>
  </si>
  <si>
    <t>Sponsorship Weekend</t>
  </si>
  <si>
    <t>Total Square</t>
  </si>
  <si>
    <t>Total Cash CAD</t>
  </si>
  <si>
    <t>Total CAD from USD</t>
  </si>
  <si>
    <t>Total Cash (USD)</t>
  </si>
  <si>
    <t>D/n pay- No $</t>
  </si>
  <si>
    <t>Adult/Seniors</t>
  </si>
  <si>
    <t>-Monday-</t>
  </si>
  <si>
    <t>-Tuesday-</t>
  </si>
  <si>
    <t>-Wednesday-</t>
  </si>
  <si>
    <t>-Thursday-</t>
  </si>
  <si>
    <t>-Friday-</t>
  </si>
  <si>
    <t>-Saturday-</t>
  </si>
  <si>
    <t>-Sunday-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</si>
</sst>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"/>
    <numFmt numFmtId="168" formatCode="mmm&quot;-&quot;d&quot;-&quot;yy"/>
  </numFmts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165" fontId="5" fillId="0" borderId="0" xfId="0" applyNumberFormat="1" applyFont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168" fontId="1" fillId="0" borderId="5" xfId="0" applyNumberFormat="1" applyFont="1" applyBorder="1" applyAlignment="1">
      <alignment horizontal="center"/>
    </xf>
    <xf numFmtId="165" fontId="1" fillId="0" borderId="5" xfId="0" applyNumberFormat="1" applyFont="1" applyFill="1" applyBorder="1" applyAlignment="1">
      <alignment horizontal="center"/>
    </xf>
    <xf numFmtId="168" fontId="1" fillId="0" borderId="6" xfId="0" applyNumberFormat="1" applyFont="1" applyBorder="1" applyAlignment="1">
      <alignment horizontal="center"/>
    </xf>
    <xf numFmtId="165" fontId="1" fillId="0" borderId="6" xfId="0" applyNumberFormat="1" applyFont="1" applyFill="1" applyBorder="1" applyAlignment="1">
      <alignment horizontal="center"/>
    </xf>
    <xf numFmtId="168" fontId="2" fillId="0" borderId="6" xfId="0" applyNumberFormat="1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5" fontId="1" fillId="0" borderId="7" xfId="0" applyNumberFormat="1" applyFont="1" applyFill="1" applyBorder="1" applyAlignment="1">
      <alignment horizontal="center"/>
    </xf>
    <xf numFmtId="165" fontId="1" fillId="0" borderId="3" xfId="0" applyNumberFormat="1" applyFont="1" applyFill="1" applyBorder="1" applyAlignment="1">
      <alignment horizontal="center"/>
    </xf>
    <xf numFmtId="165" fontId="1" fillId="0" borderId="0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5" fontId="0" fillId="0" borderId="6" xfId="0" applyNumberFormat="1" applyFill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65" fontId="5" fillId="0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9"/>
  <sheetViews>
    <sheetView tabSelected="1" workbookViewId="0">
      <pane ySplit="1" topLeftCell="A82" activePane="bottomLeft" state="frozen"/>
      <selection pane="bottomLeft" activeCell="G106" sqref="G106"/>
    </sheetView>
  </sheetViews>
  <sheetFormatPr defaultColWidth="12.59765625" defaultRowHeight="15" customHeight="1" x14ac:dyDescent="0.35"/>
  <cols>
    <col min="1" max="1" width="15.06640625" customWidth="1"/>
    <col min="2" max="3" width="13.86328125" style="17" customWidth="1"/>
    <col min="4" max="7" width="13.86328125" style="28" customWidth="1"/>
    <col min="8" max="8" width="15.73046875" style="17" customWidth="1"/>
    <col min="14" max="17" width="12.59765625" style="17"/>
    <col min="18" max="19" width="13.1328125" style="17" customWidth="1"/>
    <col min="20" max="20" width="12.86328125" style="17" customWidth="1"/>
    <col min="21" max="21" width="8.73046875" style="17" customWidth="1"/>
    <col min="22" max="22" width="8.46484375" style="17" customWidth="1"/>
    <col min="23" max="23" width="7.3984375" style="17" customWidth="1"/>
    <col min="24" max="24" width="7.73046875" style="17" customWidth="1"/>
    <col min="25" max="25" width="12.59765625" style="17"/>
  </cols>
  <sheetData>
    <row r="1" spans="1:25" ht="50.65" customHeight="1" x14ac:dyDescent="0.4">
      <c r="A1" s="6" t="s">
        <v>2</v>
      </c>
      <c r="B1" s="6" t="s">
        <v>3</v>
      </c>
      <c r="C1" s="5" t="s">
        <v>20</v>
      </c>
      <c r="D1" s="5" t="s">
        <v>21</v>
      </c>
      <c r="E1" s="33" t="s">
        <v>22</v>
      </c>
      <c r="F1" s="5" t="s">
        <v>23</v>
      </c>
      <c r="G1" s="5" t="s">
        <v>17</v>
      </c>
      <c r="H1" s="4" t="s">
        <v>14</v>
      </c>
      <c r="I1" s="4" t="s">
        <v>18</v>
      </c>
      <c r="J1" s="4" t="s">
        <v>19</v>
      </c>
      <c r="K1" s="4" t="s">
        <v>15</v>
      </c>
      <c r="L1" s="4" t="s">
        <v>16</v>
      </c>
      <c r="M1" s="4" t="s">
        <v>13</v>
      </c>
      <c r="N1" s="4" t="s">
        <v>0</v>
      </c>
      <c r="O1" s="4" t="s">
        <v>1</v>
      </c>
      <c r="P1" s="4" t="s">
        <v>4</v>
      </c>
      <c r="Q1" s="4" t="s">
        <v>5</v>
      </c>
      <c r="R1" s="4" t="s">
        <v>6</v>
      </c>
      <c r="S1" s="4" t="s">
        <v>24</v>
      </c>
      <c r="T1" s="4" t="s">
        <v>10</v>
      </c>
      <c r="U1" s="4" t="s">
        <v>7</v>
      </c>
      <c r="V1" s="4" t="s">
        <v>8</v>
      </c>
      <c r="W1" s="4" t="s">
        <v>9</v>
      </c>
      <c r="X1" s="4" t="s">
        <v>25</v>
      </c>
      <c r="Y1" s="4" t="s">
        <v>11</v>
      </c>
    </row>
    <row r="2" spans="1:25" ht="15.4" customHeight="1" x14ac:dyDescent="0.35">
      <c r="A2" s="7" t="s">
        <v>30</v>
      </c>
      <c r="B2" s="19">
        <v>45786</v>
      </c>
      <c r="C2" s="29">
        <v>0</v>
      </c>
      <c r="D2" s="20">
        <v>0</v>
      </c>
      <c r="E2" s="20">
        <v>0</v>
      </c>
      <c r="F2" s="20">
        <v>0</v>
      </c>
      <c r="G2" s="20">
        <f>SUM(C2:E2)</f>
        <v>0</v>
      </c>
      <c r="H2" s="7">
        <v>140</v>
      </c>
      <c r="I2" s="7"/>
      <c r="J2" s="7"/>
      <c r="K2" s="7" t="s">
        <v>12</v>
      </c>
      <c r="L2" s="11"/>
      <c r="M2" s="11"/>
      <c r="N2" s="7">
        <v>132</v>
      </c>
      <c r="O2" s="7">
        <v>2</v>
      </c>
      <c r="P2" s="7">
        <v>4</v>
      </c>
      <c r="Q2" s="7">
        <v>2</v>
      </c>
      <c r="R2" s="7">
        <v>0</v>
      </c>
      <c r="S2" s="7">
        <v>0</v>
      </c>
      <c r="T2" s="7">
        <v>0</v>
      </c>
      <c r="U2" s="7">
        <v>11</v>
      </c>
      <c r="V2" s="7">
        <v>32</v>
      </c>
      <c r="W2" s="7">
        <v>12</v>
      </c>
      <c r="X2" s="7">
        <v>85</v>
      </c>
      <c r="Y2" s="1">
        <v>0</v>
      </c>
    </row>
    <row r="3" spans="1:25" ht="12.75" x14ac:dyDescent="0.35">
      <c r="A3" s="8" t="s">
        <v>30</v>
      </c>
      <c r="B3" s="21">
        <v>45793</v>
      </c>
      <c r="C3" s="30">
        <v>0</v>
      </c>
      <c r="D3" s="22">
        <v>0</v>
      </c>
      <c r="E3" s="22">
        <v>0</v>
      </c>
      <c r="F3" s="22">
        <v>0</v>
      </c>
      <c r="G3" s="22">
        <f>SUM(C3:E3)</f>
        <v>0</v>
      </c>
      <c r="H3" s="8">
        <v>81</v>
      </c>
      <c r="I3" s="8"/>
      <c r="J3" s="8"/>
      <c r="K3" s="8" t="s">
        <v>12</v>
      </c>
      <c r="L3" s="12" t="s">
        <v>12</v>
      </c>
      <c r="M3" s="12"/>
      <c r="N3" s="8">
        <f>2+8+4+39</f>
        <v>53</v>
      </c>
      <c r="O3" s="8">
        <v>9</v>
      </c>
      <c r="P3" s="8">
        <v>0</v>
      </c>
      <c r="Q3" s="8">
        <v>1</v>
      </c>
      <c r="R3" s="8">
        <v>16</v>
      </c>
      <c r="S3" s="8">
        <v>2</v>
      </c>
      <c r="T3" s="8">
        <v>23</v>
      </c>
      <c r="U3" s="8">
        <v>2</v>
      </c>
      <c r="V3" s="8">
        <v>15</v>
      </c>
      <c r="W3" s="8">
        <v>10</v>
      </c>
      <c r="X3" s="8">
        <v>54</v>
      </c>
      <c r="Y3" s="1">
        <v>0</v>
      </c>
    </row>
    <row r="4" spans="1:25" ht="12.75" x14ac:dyDescent="0.35">
      <c r="A4" s="8" t="s">
        <v>31</v>
      </c>
      <c r="B4" s="21">
        <v>45794</v>
      </c>
      <c r="C4" s="30">
        <v>0</v>
      </c>
      <c r="D4" s="22">
        <v>0</v>
      </c>
      <c r="E4" s="22">
        <v>0</v>
      </c>
      <c r="F4" s="22">
        <v>0</v>
      </c>
      <c r="G4" s="22">
        <f>SUM(C4:E4)</f>
        <v>0</v>
      </c>
      <c r="H4" s="8">
        <v>10</v>
      </c>
      <c r="I4" s="8" t="s">
        <v>12</v>
      </c>
      <c r="J4" s="8"/>
      <c r="K4" s="8"/>
      <c r="L4" s="12" t="s">
        <v>12</v>
      </c>
      <c r="M4" s="12"/>
      <c r="N4" s="8">
        <v>0</v>
      </c>
      <c r="O4" s="8">
        <v>6</v>
      </c>
      <c r="P4" s="8">
        <v>4</v>
      </c>
      <c r="Q4" s="8">
        <v>0</v>
      </c>
      <c r="R4" s="8">
        <v>0</v>
      </c>
      <c r="S4" s="8">
        <v>0</v>
      </c>
      <c r="T4" s="8">
        <v>2</v>
      </c>
      <c r="U4" s="8">
        <v>1</v>
      </c>
      <c r="V4" s="8">
        <v>3</v>
      </c>
      <c r="W4" s="8">
        <v>2</v>
      </c>
      <c r="X4" s="8">
        <v>4</v>
      </c>
      <c r="Y4" s="1">
        <v>0</v>
      </c>
    </row>
    <row r="5" spans="1:25" ht="12.75" x14ac:dyDescent="0.35">
      <c r="A5" s="8" t="s">
        <v>32</v>
      </c>
      <c r="B5" s="21">
        <v>45795</v>
      </c>
      <c r="C5" s="30">
        <v>0</v>
      </c>
      <c r="D5" s="22">
        <v>0</v>
      </c>
      <c r="E5" s="22">
        <v>0</v>
      </c>
      <c r="F5" s="22">
        <v>0</v>
      </c>
      <c r="G5" s="22">
        <f t="shared" ref="G5:G68" si="0">SUM(C5:E5)</f>
        <v>0</v>
      </c>
      <c r="H5" s="8">
        <v>42</v>
      </c>
      <c r="I5" s="8" t="s">
        <v>12</v>
      </c>
      <c r="J5" s="8"/>
      <c r="K5" s="8"/>
      <c r="L5" s="12"/>
      <c r="M5" s="12"/>
      <c r="N5" s="8">
        <v>0</v>
      </c>
      <c r="O5" s="8">
        <f>4+23</f>
        <v>27</v>
      </c>
      <c r="P5" s="8">
        <v>5</v>
      </c>
      <c r="Q5" s="8">
        <v>5</v>
      </c>
      <c r="R5" s="8">
        <v>5</v>
      </c>
      <c r="S5" s="8">
        <v>0</v>
      </c>
      <c r="T5" s="8">
        <v>0</v>
      </c>
      <c r="U5" s="8">
        <v>11</v>
      </c>
      <c r="V5" s="8">
        <v>4</v>
      </c>
      <c r="W5" s="8">
        <v>1</v>
      </c>
      <c r="X5" s="8">
        <v>26</v>
      </c>
      <c r="Y5" s="1">
        <v>0</v>
      </c>
    </row>
    <row r="6" spans="1:25" ht="12.75" x14ac:dyDescent="0.35">
      <c r="A6" s="8" t="s">
        <v>26</v>
      </c>
      <c r="B6" s="21">
        <v>45796</v>
      </c>
      <c r="C6" s="30">
        <v>0</v>
      </c>
      <c r="D6" s="22">
        <v>535</v>
      </c>
      <c r="E6" s="22">
        <f>F6*1.38</f>
        <v>120.05999999999999</v>
      </c>
      <c r="F6" s="22">
        <v>87</v>
      </c>
      <c r="G6" s="22">
        <f t="shared" si="0"/>
        <v>655.05999999999995</v>
      </c>
      <c r="H6" s="8">
        <v>27</v>
      </c>
      <c r="I6" s="8" t="s">
        <v>12</v>
      </c>
      <c r="J6" s="8"/>
      <c r="K6" s="8" t="s">
        <v>12</v>
      </c>
      <c r="L6" s="12" t="s">
        <v>12</v>
      </c>
      <c r="M6" s="12"/>
      <c r="N6" s="8">
        <v>10</v>
      </c>
      <c r="O6" s="8">
        <v>8</v>
      </c>
      <c r="P6" s="8">
        <v>0</v>
      </c>
      <c r="Q6" s="8">
        <v>0</v>
      </c>
      <c r="R6" s="8">
        <v>6</v>
      </c>
      <c r="S6" s="8">
        <v>3</v>
      </c>
      <c r="T6" s="8">
        <v>27</v>
      </c>
      <c r="U6" s="8">
        <v>1</v>
      </c>
      <c r="V6" s="8">
        <v>9</v>
      </c>
      <c r="W6" s="8">
        <v>0</v>
      </c>
      <c r="X6" s="8">
        <v>17</v>
      </c>
      <c r="Y6" s="1">
        <v>0</v>
      </c>
    </row>
    <row r="7" spans="1:25" ht="12.75" x14ac:dyDescent="0.35">
      <c r="A7" s="8" t="s">
        <v>28</v>
      </c>
      <c r="B7" s="21">
        <v>45798</v>
      </c>
      <c r="C7" s="22">
        <v>723.19</v>
      </c>
      <c r="D7" s="31">
        <v>0</v>
      </c>
      <c r="E7" s="31">
        <v>0</v>
      </c>
      <c r="F7" s="31">
        <v>0</v>
      </c>
      <c r="G7" s="22">
        <f t="shared" si="0"/>
        <v>723.19</v>
      </c>
      <c r="H7" s="8">
        <v>32</v>
      </c>
      <c r="I7" s="8"/>
      <c r="J7" s="8"/>
      <c r="K7" s="8"/>
      <c r="L7" s="12"/>
      <c r="M7" s="12" t="s">
        <v>12</v>
      </c>
      <c r="N7" s="8">
        <v>0</v>
      </c>
      <c r="O7" s="8">
        <f>10+18+4</f>
        <v>32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10</v>
      </c>
      <c r="W7" s="8">
        <v>18</v>
      </c>
      <c r="X7" s="8">
        <v>4</v>
      </c>
      <c r="Y7" s="1">
        <v>0</v>
      </c>
    </row>
    <row r="8" spans="1:25" ht="12.75" x14ac:dyDescent="0.35">
      <c r="A8" s="9" t="s">
        <v>30</v>
      </c>
      <c r="B8" s="23">
        <v>45800</v>
      </c>
      <c r="C8" s="32">
        <v>0</v>
      </c>
      <c r="D8" s="22">
        <v>0</v>
      </c>
      <c r="E8" s="22">
        <v>0</v>
      </c>
      <c r="F8" s="22">
        <v>0</v>
      </c>
      <c r="G8" s="22">
        <f t="shared" si="0"/>
        <v>0</v>
      </c>
      <c r="H8" s="8">
        <v>14</v>
      </c>
      <c r="I8" s="9"/>
      <c r="J8" s="9"/>
      <c r="K8" s="9" t="s">
        <v>12</v>
      </c>
      <c r="L8" s="12" t="s">
        <v>12</v>
      </c>
      <c r="M8" s="12"/>
      <c r="N8" s="9">
        <f>2+2</f>
        <v>4</v>
      </c>
      <c r="O8" s="9">
        <v>0</v>
      </c>
      <c r="P8" s="9">
        <v>6</v>
      </c>
      <c r="Q8" s="9">
        <v>4</v>
      </c>
      <c r="R8" s="9">
        <v>0</v>
      </c>
      <c r="S8" s="9">
        <v>0</v>
      </c>
      <c r="T8" s="9">
        <v>0</v>
      </c>
      <c r="U8" s="9">
        <v>3</v>
      </c>
      <c r="V8" s="9">
        <v>1</v>
      </c>
      <c r="W8" s="9">
        <v>0</v>
      </c>
      <c r="X8" s="9">
        <v>10</v>
      </c>
      <c r="Y8" s="2">
        <v>0</v>
      </c>
    </row>
    <row r="9" spans="1:25" ht="12.75" x14ac:dyDescent="0.35">
      <c r="A9" s="9" t="s">
        <v>31</v>
      </c>
      <c r="B9" s="23">
        <v>45801</v>
      </c>
      <c r="C9" s="32">
        <v>0</v>
      </c>
      <c r="D9" s="22">
        <v>0</v>
      </c>
      <c r="E9" s="22">
        <v>0</v>
      </c>
      <c r="F9" s="22">
        <v>0</v>
      </c>
      <c r="G9" s="22">
        <f t="shared" si="0"/>
        <v>0</v>
      </c>
      <c r="H9" s="8">
        <v>8</v>
      </c>
      <c r="I9" s="8"/>
      <c r="J9" s="8"/>
      <c r="K9" s="8"/>
      <c r="L9" s="12" t="s">
        <v>12</v>
      </c>
      <c r="M9" s="12"/>
      <c r="N9" s="8">
        <v>0</v>
      </c>
      <c r="O9" s="8">
        <v>6</v>
      </c>
      <c r="P9" s="8">
        <v>2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4</v>
      </c>
      <c r="W9" s="8">
        <v>0</v>
      </c>
      <c r="X9" s="8">
        <v>4</v>
      </c>
      <c r="Y9" s="1">
        <v>0</v>
      </c>
    </row>
    <row r="10" spans="1:25" ht="12.75" x14ac:dyDescent="0.35">
      <c r="A10" s="9" t="s">
        <v>32</v>
      </c>
      <c r="B10" s="23">
        <v>45802</v>
      </c>
      <c r="C10" s="32">
        <v>0</v>
      </c>
      <c r="D10" s="22">
        <v>0</v>
      </c>
      <c r="E10" s="22">
        <v>0</v>
      </c>
      <c r="F10" s="22">
        <v>0</v>
      </c>
      <c r="G10" s="22">
        <f t="shared" si="0"/>
        <v>0</v>
      </c>
      <c r="H10" s="8">
        <v>35</v>
      </c>
      <c r="I10" s="8"/>
      <c r="J10" s="8"/>
      <c r="K10" s="8"/>
      <c r="L10" s="12" t="s">
        <v>12</v>
      </c>
      <c r="M10" s="12" t="s">
        <v>12</v>
      </c>
      <c r="N10" s="8">
        <v>0</v>
      </c>
      <c r="O10" s="8">
        <v>19</v>
      </c>
      <c r="P10" s="8">
        <v>0</v>
      </c>
      <c r="Q10" s="8">
        <v>16</v>
      </c>
      <c r="R10" s="8">
        <v>0</v>
      </c>
      <c r="S10" s="8">
        <v>0</v>
      </c>
      <c r="T10" s="8">
        <v>0</v>
      </c>
      <c r="U10" s="8">
        <v>0</v>
      </c>
      <c r="V10" s="8">
        <v>10</v>
      </c>
      <c r="W10" s="8">
        <v>10</v>
      </c>
      <c r="X10" s="8">
        <v>15</v>
      </c>
      <c r="Y10" s="1">
        <v>0</v>
      </c>
    </row>
    <row r="11" spans="1:25" ht="12.75" x14ac:dyDescent="0.35">
      <c r="A11" s="9" t="s">
        <v>26</v>
      </c>
      <c r="B11" s="23">
        <v>45803</v>
      </c>
      <c r="C11" s="32">
        <v>0</v>
      </c>
      <c r="D11" s="22">
        <v>0</v>
      </c>
      <c r="E11" s="22">
        <v>0</v>
      </c>
      <c r="F11" s="22">
        <v>0</v>
      </c>
      <c r="G11" s="22">
        <f t="shared" si="0"/>
        <v>0</v>
      </c>
      <c r="H11" s="8">
        <v>8</v>
      </c>
      <c r="I11" s="8"/>
      <c r="J11" s="8"/>
      <c r="K11" s="8" t="s">
        <v>12</v>
      </c>
      <c r="L11" s="12" t="s">
        <v>12</v>
      </c>
      <c r="M11" s="12"/>
      <c r="N11" s="8">
        <v>0</v>
      </c>
      <c r="O11" s="8">
        <v>4</v>
      </c>
      <c r="P11" s="8">
        <v>0</v>
      </c>
      <c r="Q11" s="8">
        <v>4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4</v>
      </c>
      <c r="X11" s="8">
        <v>4</v>
      </c>
      <c r="Y11" s="1">
        <v>0</v>
      </c>
    </row>
    <row r="12" spans="1:25" ht="12.75" x14ac:dyDescent="0.35">
      <c r="A12" s="9" t="s">
        <v>27</v>
      </c>
      <c r="B12" s="23">
        <v>45804</v>
      </c>
      <c r="C12" s="32">
        <v>0</v>
      </c>
      <c r="D12" s="22">
        <v>0</v>
      </c>
      <c r="E12" s="22">
        <v>0</v>
      </c>
      <c r="F12" s="22">
        <v>0</v>
      </c>
      <c r="G12" s="22">
        <f t="shared" si="0"/>
        <v>0</v>
      </c>
      <c r="H12" s="8">
        <v>6</v>
      </c>
      <c r="I12" s="8"/>
      <c r="J12" s="8"/>
      <c r="K12" s="8" t="s">
        <v>12</v>
      </c>
      <c r="L12" s="12" t="s">
        <v>12</v>
      </c>
      <c r="M12" s="12"/>
      <c r="N12" s="8">
        <v>4</v>
      </c>
      <c r="O12" s="8">
        <v>0</v>
      </c>
      <c r="P12" s="8">
        <v>2</v>
      </c>
      <c r="Q12" s="8">
        <v>0</v>
      </c>
      <c r="R12" s="8">
        <v>0</v>
      </c>
      <c r="S12" s="8">
        <v>0</v>
      </c>
      <c r="T12" s="8">
        <v>1</v>
      </c>
      <c r="U12" s="8">
        <v>0</v>
      </c>
      <c r="V12" s="8">
        <v>0</v>
      </c>
      <c r="W12" s="8">
        <v>0</v>
      </c>
      <c r="X12" s="8">
        <v>6</v>
      </c>
      <c r="Y12" s="1">
        <v>0</v>
      </c>
    </row>
    <row r="13" spans="1:25" ht="12.75" x14ac:dyDescent="0.35">
      <c r="A13" s="9" t="s">
        <v>28</v>
      </c>
      <c r="B13" s="23">
        <v>45805</v>
      </c>
      <c r="C13" s="32">
        <v>0</v>
      </c>
      <c r="D13" s="22">
        <v>0</v>
      </c>
      <c r="E13" s="22">
        <v>0</v>
      </c>
      <c r="F13" s="22">
        <v>0</v>
      </c>
      <c r="G13" s="22">
        <f t="shared" si="0"/>
        <v>0</v>
      </c>
      <c r="H13" s="8">
        <v>41</v>
      </c>
      <c r="I13" s="8"/>
      <c r="J13" s="8"/>
      <c r="K13" s="8"/>
      <c r="L13" s="12" t="s">
        <v>12</v>
      </c>
      <c r="M13" s="12" t="s">
        <v>12</v>
      </c>
      <c r="N13" s="8">
        <v>0</v>
      </c>
      <c r="O13" s="8">
        <f>20+11+6</f>
        <v>37</v>
      </c>
      <c r="P13" s="8">
        <v>0</v>
      </c>
      <c r="Q13" s="8">
        <v>4</v>
      </c>
      <c r="R13" s="8">
        <v>0</v>
      </c>
      <c r="S13" s="8">
        <v>0</v>
      </c>
      <c r="T13" s="8">
        <v>2</v>
      </c>
      <c r="U13" s="8">
        <v>0</v>
      </c>
      <c r="V13" s="8">
        <f>20+11</f>
        <v>31</v>
      </c>
      <c r="W13" s="8">
        <v>0</v>
      </c>
      <c r="X13" s="8">
        <f>6+4</f>
        <v>10</v>
      </c>
      <c r="Y13" s="1">
        <v>0</v>
      </c>
    </row>
    <row r="14" spans="1:25" ht="12.75" x14ac:dyDescent="0.35">
      <c r="A14" s="8" t="s">
        <v>30</v>
      </c>
      <c r="B14" s="21">
        <v>45807</v>
      </c>
      <c r="C14" s="30">
        <v>0</v>
      </c>
      <c r="D14" s="22">
        <v>0</v>
      </c>
      <c r="E14" s="22">
        <v>0</v>
      </c>
      <c r="F14" s="22">
        <v>0</v>
      </c>
      <c r="G14" s="22">
        <f t="shared" si="0"/>
        <v>0</v>
      </c>
      <c r="H14" s="8">
        <v>60</v>
      </c>
      <c r="I14" s="8"/>
      <c r="J14" s="8"/>
      <c r="K14" s="8" t="s">
        <v>12</v>
      </c>
      <c r="L14" s="12" t="s">
        <v>12</v>
      </c>
      <c r="M14" s="12"/>
      <c r="N14" s="8">
        <v>58</v>
      </c>
      <c r="O14" s="8">
        <v>0</v>
      </c>
      <c r="P14" s="8">
        <v>0</v>
      </c>
      <c r="Q14" s="8">
        <v>2</v>
      </c>
      <c r="R14" s="8">
        <v>0</v>
      </c>
      <c r="S14" s="8">
        <v>0</v>
      </c>
      <c r="T14" s="8">
        <v>0</v>
      </c>
      <c r="U14" s="8">
        <v>6</v>
      </c>
      <c r="V14" s="8">
        <v>13</v>
      </c>
      <c r="W14" s="8">
        <v>8</v>
      </c>
      <c r="X14" s="8">
        <v>33</v>
      </c>
      <c r="Y14" s="1">
        <v>0</v>
      </c>
    </row>
    <row r="15" spans="1:25" ht="12.75" x14ac:dyDescent="0.35">
      <c r="A15" s="8" t="s">
        <v>31</v>
      </c>
      <c r="B15" s="21">
        <v>45808</v>
      </c>
      <c r="C15" s="30">
        <v>0</v>
      </c>
      <c r="D15" s="22">
        <v>0</v>
      </c>
      <c r="E15" s="22">
        <v>0</v>
      </c>
      <c r="F15" s="22">
        <v>0</v>
      </c>
      <c r="G15" s="22">
        <f t="shared" si="0"/>
        <v>0</v>
      </c>
      <c r="H15" s="8">
        <v>13</v>
      </c>
      <c r="I15" s="8"/>
      <c r="J15" s="8"/>
      <c r="K15" s="8"/>
      <c r="L15" s="12" t="s">
        <v>12</v>
      </c>
      <c r="M15" s="12"/>
      <c r="N15" s="8">
        <v>0</v>
      </c>
      <c r="O15" s="8">
        <v>9</v>
      </c>
      <c r="P15" s="8">
        <v>2</v>
      </c>
      <c r="Q15" s="8">
        <v>2</v>
      </c>
      <c r="R15" s="8">
        <v>0</v>
      </c>
      <c r="S15" s="8">
        <v>0</v>
      </c>
      <c r="T15" s="8">
        <v>3</v>
      </c>
      <c r="U15" s="8">
        <v>1</v>
      </c>
      <c r="V15" s="8">
        <v>1</v>
      </c>
      <c r="W15" s="8">
        <v>2</v>
      </c>
      <c r="X15" s="8">
        <v>9</v>
      </c>
      <c r="Y15" s="1">
        <v>0</v>
      </c>
    </row>
    <row r="16" spans="1:25" ht="12.75" x14ac:dyDescent="0.35">
      <c r="A16" s="8" t="s">
        <v>32</v>
      </c>
      <c r="B16" s="21">
        <v>45809</v>
      </c>
      <c r="C16" s="30">
        <v>0</v>
      </c>
      <c r="D16" s="22">
        <v>0</v>
      </c>
      <c r="E16" s="22">
        <v>0</v>
      </c>
      <c r="F16" s="22">
        <v>0</v>
      </c>
      <c r="G16" s="22">
        <f t="shared" si="0"/>
        <v>0</v>
      </c>
      <c r="H16" s="8">
        <v>16</v>
      </c>
      <c r="I16" s="8"/>
      <c r="J16" s="8"/>
      <c r="K16" s="8"/>
      <c r="L16" s="12"/>
      <c r="M16" s="12"/>
      <c r="N16" s="8">
        <v>0</v>
      </c>
      <c r="O16" s="8">
        <v>3</v>
      </c>
      <c r="P16" s="8">
        <v>2</v>
      </c>
      <c r="Q16" s="8">
        <v>7</v>
      </c>
      <c r="R16" s="8">
        <v>0</v>
      </c>
      <c r="S16" s="8">
        <v>4</v>
      </c>
      <c r="T16" s="8">
        <v>0</v>
      </c>
      <c r="U16" s="8">
        <v>2</v>
      </c>
      <c r="V16" s="8">
        <v>3</v>
      </c>
      <c r="W16" s="8">
        <v>0</v>
      </c>
      <c r="X16" s="8">
        <v>11</v>
      </c>
      <c r="Y16" s="1">
        <v>0</v>
      </c>
    </row>
    <row r="17" spans="1:25" ht="12.75" x14ac:dyDescent="0.35">
      <c r="A17" s="8" t="s">
        <v>26</v>
      </c>
      <c r="B17" s="21">
        <v>45810</v>
      </c>
      <c r="C17" s="30">
        <v>0</v>
      </c>
      <c r="D17" s="22">
        <v>0</v>
      </c>
      <c r="E17" s="22">
        <v>0</v>
      </c>
      <c r="F17" s="22">
        <v>0</v>
      </c>
      <c r="G17" s="22">
        <f t="shared" si="0"/>
        <v>0</v>
      </c>
      <c r="H17" s="8">
        <v>10</v>
      </c>
      <c r="I17" s="8"/>
      <c r="J17" s="8"/>
      <c r="K17" s="8" t="s">
        <v>12</v>
      </c>
      <c r="L17" s="12" t="s">
        <v>12</v>
      </c>
      <c r="M17" s="12"/>
      <c r="N17" s="8">
        <v>6</v>
      </c>
      <c r="O17" s="8">
        <v>2</v>
      </c>
      <c r="P17" s="8">
        <v>0</v>
      </c>
      <c r="Q17" s="8">
        <v>2</v>
      </c>
      <c r="R17" s="8">
        <v>0</v>
      </c>
      <c r="S17" s="8">
        <v>0</v>
      </c>
      <c r="T17" s="8">
        <v>5</v>
      </c>
      <c r="U17" s="8">
        <v>2</v>
      </c>
      <c r="V17" s="8">
        <v>3</v>
      </c>
      <c r="W17" s="8">
        <v>0</v>
      </c>
      <c r="X17" s="8">
        <v>5</v>
      </c>
      <c r="Y17" s="1">
        <v>0</v>
      </c>
    </row>
    <row r="18" spans="1:25" ht="12.75" x14ac:dyDescent="0.35">
      <c r="A18" s="8" t="s">
        <v>27</v>
      </c>
      <c r="B18" s="21">
        <v>45811</v>
      </c>
      <c r="C18" s="30">
        <v>0</v>
      </c>
      <c r="D18" s="22">
        <v>0</v>
      </c>
      <c r="E18" s="22">
        <v>0</v>
      </c>
      <c r="F18" s="22">
        <v>0</v>
      </c>
      <c r="G18" s="22">
        <f t="shared" si="0"/>
        <v>0</v>
      </c>
      <c r="H18" s="8">
        <v>17</v>
      </c>
      <c r="I18" s="8"/>
      <c r="J18" s="8"/>
      <c r="K18" s="8" t="s">
        <v>12</v>
      </c>
      <c r="L18" s="12" t="s">
        <v>12</v>
      </c>
      <c r="M18" s="12"/>
      <c r="N18" s="8">
        <v>14</v>
      </c>
      <c r="O18" s="8">
        <v>1</v>
      </c>
      <c r="P18" s="8">
        <v>0</v>
      </c>
      <c r="Q18" s="8">
        <v>2</v>
      </c>
      <c r="R18" s="8">
        <v>0</v>
      </c>
      <c r="S18" s="8">
        <v>0</v>
      </c>
      <c r="T18" s="8">
        <v>5</v>
      </c>
      <c r="U18" s="8">
        <v>1</v>
      </c>
      <c r="V18" s="8">
        <v>5</v>
      </c>
      <c r="W18" s="8">
        <v>2</v>
      </c>
      <c r="X18" s="8">
        <v>9</v>
      </c>
      <c r="Y18" s="1">
        <v>0</v>
      </c>
    </row>
    <row r="19" spans="1:25" ht="12.75" x14ac:dyDescent="0.35">
      <c r="A19" s="8" t="s">
        <v>28</v>
      </c>
      <c r="B19" s="21">
        <v>45812</v>
      </c>
      <c r="C19" s="30">
        <v>0</v>
      </c>
      <c r="D19" s="22">
        <v>0</v>
      </c>
      <c r="E19" s="22">
        <v>0</v>
      </c>
      <c r="F19" s="22">
        <v>0</v>
      </c>
      <c r="G19" s="22">
        <f t="shared" si="0"/>
        <v>0</v>
      </c>
      <c r="H19" s="8">
        <v>80</v>
      </c>
      <c r="I19" s="8"/>
      <c r="J19" s="8"/>
      <c r="K19" s="8"/>
      <c r="L19" s="12"/>
      <c r="M19" s="12" t="s">
        <v>12</v>
      </c>
      <c r="N19" s="8">
        <v>0</v>
      </c>
      <c r="O19" s="8">
        <f>21+29+24+6</f>
        <v>80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f>21+29</f>
        <v>50</v>
      </c>
      <c r="W19" s="8">
        <v>24</v>
      </c>
      <c r="X19" s="8">
        <v>6</v>
      </c>
      <c r="Y19" s="1">
        <v>0</v>
      </c>
    </row>
    <row r="20" spans="1:25" ht="12.75" x14ac:dyDescent="0.35">
      <c r="A20" s="8" t="s">
        <v>29</v>
      </c>
      <c r="B20" s="21">
        <v>45813</v>
      </c>
      <c r="C20" s="30">
        <v>0</v>
      </c>
      <c r="D20" s="22">
        <v>0</v>
      </c>
      <c r="E20" s="22">
        <v>0</v>
      </c>
      <c r="F20" s="22">
        <v>0</v>
      </c>
      <c r="G20" s="22">
        <f t="shared" si="0"/>
        <v>0</v>
      </c>
      <c r="H20" s="8">
        <v>37</v>
      </c>
      <c r="I20" s="8"/>
      <c r="J20" s="8"/>
      <c r="K20" s="8"/>
      <c r="L20" s="12" t="s">
        <v>12</v>
      </c>
      <c r="M20" s="12" t="s">
        <v>12</v>
      </c>
      <c r="N20" s="8">
        <v>0</v>
      </c>
      <c r="O20" s="8">
        <v>37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18</v>
      </c>
      <c r="W20" s="8">
        <v>15</v>
      </c>
      <c r="X20" s="8">
        <v>4</v>
      </c>
      <c r="Y20" s="1">
        <v>0</v>
      </c>
    </row>
    <row r="21" spans="1:25" ht="12.75" x14ac:dyDescent="0.35">
      <c r="A21" s="8" t="s">
        <v>30</v>
      </c>
      <c r="B21" s="21">
        <v>45814</v>
      </c>
      <c r="C21" s="30">
        <v>0</v>
      </c>
      <c r="D21" s="22">
        <v>0</v>
      </c>
      <c r="E21" s="22">
        <v>0</v>
      </c>
      <c r="F21" s="22">
        <v>0</v>
      </c>
      <c r="G21" s="22">
        <f t="shared" si="0"/>
        <v>0</v>
      </c>
      <c r="H21" s="8">
        <v>33</v>
      </c>
      <c r="I21" s="8"/>
      <c r="J21" s="8"/>
      <c r="K21" s="8" t="s">
        <v>12</v>
      </c>
      <c r="L21" s="12"/>
      <c r="M21" s="12"/>
      <c r="N21" s="8">
        <v>17</v>
      </c>
      <c r="O21" s="8">
        <v>5</v>
      </c>
      <c r="P21" s="8">
        <v>0</v>
      </c>
      <c r="Q21" s="8">
        <v>5</v>
      </c>
      <c r="R21" s="8">
        <v>2</v>
      </c>
      <c r="S21" s="8">
        <v>0</v>
      </c>
      <c r="T21" s="8">
        <v>0</v>
      </c>
      <c r="U21" s="8">
        <v>0</v>
      </c>
      <c r="V21" s="8">
        <v>10</v>
      </c>
      <c r="W21" s="8">
        <v>7</v>
      </c>
      <c r="X21" s="8">
        <v>16</v>
      </c>
      <c r="Y21" s="1">
        <v>0</v>
      </c>
    </row>
    <row r="22" spans="1:25" ht="12.75" x14ac:dyDescent="0.35">
      <c r="A22" s="8" t="s">
        <v>31</v>
      </c>
      <c r="B22" s="21">
        <v>45815</v>
      </c>
      <c r="C22" s="30">
        <v>0</v>
      </c>
      <c r="D22" s="22">
        <v>0</v>
      </c>
      <c r="E22" s="22">
        <v>0</v>
      </c>
      <c r="F22" s="22">
        <v>0</v>
      </c>
      <c r="G22" s="22">
        <f t="shared" si="0"/>
        <v>0</v>
      </c>
      <c r="H22" s="8">
        <v>9</v>
      </c>
      <c r="I22" s="8"/>
      <c r="J22" s="8"/>
      <c r="K22" s="8"/>
      <c r="L22" s="12"/>
      <c r="M22" s="12"/>
      <c r="N22" s="8">
        <v>0</v>
      </c>
      <c r="O22" s="8">
        <v>4</v>
      </c>
      <c r="P22" s="8">
        <v>2</v>
      </c>
      <c r="Q22" s="8">
        <v>3</v>
      </c>
      <c r="R22" s="8">
        <v>0</v>
      </c>
      <c r="S22" s="8">
        <v>0</v>
      </c>
      <c r="T22" s="8">
        <v>0</v>
      </c>
      <c r="U22" s="8">
        <v>1</v>
      </c>
      <c r="V22" s="8">
        <v>3</v>
      </c>
      <c r="W22" s="8">
        <v>0</v>
      </c>
      <c r="X22" s="8">
        <v>5</v>
      </c>
      <c r="Y22" s="1">
        <v>0</v>
      </c>
    </row>
    <row r="23" spans="1:25" ht="12.75" x14ac:dyDescent="0.35">
      <c r="A23" s="8" t="s">
        <v>32</v>
      </c>
      <c r="B23" s="21">
        <v>45816</v>
      </c>
      <c r="C23" s="30">
        <v>0</v>
      </c>
      <c r="D23" s="22">
        <v>345</v>
      </c>
      <c r="E23" s="22">
        <f>F23*1.38</f>
        <v>215.27999999999997</v>
      </c>
      <c r="F23" s="22">
        <v>156</v>
      </c>
      <c r="G23" s="22">
        <f t="shared" si="0"/>
        <v>560.28</v>
      </c>
      <c r="H23" s="8">
        <v>9</v>
      </c>
      <c r="I23" s="8"/>
      <c r="J23" s="8"/>
      <c r="K23" s="8"/>
      <c r="L23" s="12"/>
      <c r="M23" s="12"/>
      <c r="N23" s="8">
        <v>0</v>
      </c>
      <c r="O23" s="8">
        <v>3</v>
      </c>
      <c r="P23" s="8">
        <v>0</v>
      </c>
      <c r="Q23" s="8">
        <v>6</v>
      </c>
      <c r="R23" s="8">
        <v>0</v>
      </c>
      <c r="S23" s="8">
        <v>0</v>
      </c>
      <c r="T23" s="8">
        <v>0</v>
      </c>
      <c r="U23" s="8">
        <v>1</v>
      </c>
      <c r="V23" s="8">
        <v>0</v>
      </c>
      <c r="W23" s="8">
        <v>0</v>
      </c>
      <c r="X23" s="8">
        <v>8</v>
      </c>
      <c r="Y23" s="1">
        <v>0</v>
      </c>
    </row>
    <row r="24" spans="1:25" ht="12.75" x14ac:dyDescent="0.35">
      <c r="A24" s="8" t="s">
        <v>26</v>
      </c>
      <c r="B24" s="21">
        <v>45817</v>
      </c>
      <c r="C24" s="30">
        <v>0</v>
      </c>
      <c r="D24" s="22">
        <v>0</v>
      </c>
      <c r="E24" s="22">
        <v>0</v>
      </c>
      <c r="F24" s="22">
        <v>0</v>
      </c>
      <c r="G24" s="22">
        <f t="shared" si="0"/>
        <v>0</v>
      </c>
      <c r="H24" s="8">
        <v>83</v>
      </c>
      <c r="I24" s="8"/>
      <c r="J24" s="8"/>
      <c r="K24" s="8"/>
      <c r="L24" s="12"/>
      <c r="M24" s="12" t="s">
        <v>12</v>
      </c>
      <c r="N24" s="8">
        <v>0</v>
      </c>
      <c r="O24" s="8">
        <f>27+22+22+12</f>
        <v>83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f>27+22+22</f>
        <v>71</v>
      </c>
      <c r="W24" s="8">
        <v>0</v>
      </c>
      <c r="X24" s="8">
        <v>12</v>
      </c>
      <c r="Y24" s="1">
        <v>0</v>
      </c>
    </row>
    <row r="25" spans="1:25" ht="12.75" x14ac:dyDescent="0.35">
      <c r="A25" s="8" t="s">
        <v>31</v>
      </c>
      <c r="B25" s="21">
        <v>45822</v>
      </c>
      <c r="C25" s="30">
        <v>0</v>
      </c>
      <c r="D25" s="22">
        <v>0</v>
      </c>
      <c r="E25" s="22">
        <v>0</v>
      </c>
      <c r="F25" s="22">
        <v>0</v>
      </c>
      <c r="G25" s="22">
        <f t="shared" si="0"/>
        <v>0</v>
      </c>
      <c r="H25" s="8">
        <v>22</v>
      </c>
      <c r="I25" s="8"/>
      <c r="J25" s="8"/>
      <c r="K25" s="8"/>
      <c r="L25" s="12"/>
      <c r="M25" s="12"/>
      <c r="N25" s="8">
        <v>0</v>
      </c>
      <c r="O25" s="8">
        <f>15+7</f>
        <v>22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7</v>
      </c>
      <c r="W25" s="8">
        <v>0</v>
      </c>
      <c r="X25" s="8">
        <v>15</v>
      </c>
      <c r="Y25" s="1">
        <v>0</v>
      </c>
    </row>
    <row r="26" spans="1:25" ht="12.75" x14ac:dyDescent="0.35">
      <c r="A26" s="8" t="s">
        <v>32</v>
      </c>
      <c r="B26" s="21">
        <v>45823</v>
      </c>
      <c r="C26" s="30">
        <v>0</v>
      </c>
      <c r="D26" s="22">
        <v>0</v>
      </c>
      <c r="E26" s="22">
        <v>0</v>
      </c>
      <c r="F26" s="22">
        <v>0</v>
      </c>
      <c r="G26" s="22">
        <f t="shared" si="0"/>
        <v>0</v>
      </c>
      <c r="H26" s="8">
        <v>90</v>
      </c>
      <c r="I26" s="8"/>
      <c r="J26" s="8"/>
      <c r="K26" s="8"/>
      <c r="L26" s="12"/>
      <c r="M26" s="12"/>
      <c r="N26" s="8">
        <v>0</v>
      </c>
      <c r="O26" s="8">
        <f>10+39+6+29</f>
        <v>84</v>
      </c>
      <c r="P26" s="8">
        <v>0</v>
      </c>
      <c r="Q26" s="8">
        <v>0</v>
      </c>
      <c r="R26" s="8">
        <v>3</v>
      </c>
      <c r="S26" s="8">
        <v>3</v>
      </c>
      <c r="T26" s="8">
        <v>13</v>
      </c>
      <c r="U26" s="8">
        <v>10</v>
      </c>
      <c r="V26" s="8">
        <f>39+4</f>
        <v>43</v>
      </c>
      <c r="W26" s="8">
        <f>6+1</f>
        <v>7</v>
      </c>
      <c r="X26" s="8">
        <f>29+1</f>
        <v>30</v>
      </c>
      <c r="Y26" s="1">
        <v>0</v>
      </c>
    </row>
    <row r="27" spans="1:25" ht="12.75" x14ac:dyDescent="0.35">
      <c r="A27" s="8" t="s">
        <v>26</v>
      </c>
      <c r="B27" s="21">
        <v>45824</v>
      </c>
      <c r="C27" s="30">
        <v>0</v>
      </c>
      <c r="D27" s="22">
        <v>0</v>
      </c>
      <c r="E27" s="22">
        <v>0</v>
      </c>
      <c r="F27" s="22">
        <v>0</v>
      </c>
      <c r="G27" s="22">
        <f t="shared" si="0"/>
        <v>0</v>
      </c>
      <c r="H27" s="8">
        <v>52</v>
      </c>
      <c r="I27" s="8"/>
      <c r="J27" s="8"/>
      <c r="K27" s="8" t="s">
        <v>12</v>
      </c>
      <c r="L27" s="12"/>
      <c r="M27" s="12"/>
      <c r="N27" s="8">
        <f>4+15+2+28</f>
        <v>49</v>
      </c>
      <c r="O27" s="8">
        <v>3</v>
      </c>
      <c r="P27" s="8">
        <v>0</v>
      </c>
      <c r="Q27" s="8">
        <v>0</v>
      </c>
      <c r="R27" s="8">
        <v>0</v>
      </c>
      <c r="S27" s="8">
        <v>0</v>
      </c>
      <c r="T27" s="8">
        <v>6</v>
      </c>
      <c r="U27" s="8">
        <v>4</v>
      </c>
      <c r="V27" s="8">
        <v>17</v>
      </c>
      <c r="W27" s="8">
        <v>2</v>
      </c>
      <c r="X27" s="8">
        <v>29</v>
      </c>
      <c r="Y27" s="1">
        <v>0</v>
      </c>
    </row>
    <row r="28" spans="1:25" ht="12.75" x14ac:dyDescent="0.35">
      <c r="A28" s="8" t="s">
        <v>28</v>
      </c>
      <c r="B28" s="21">
        <v>45826</v>
      </c>
      <c r="C28" s="30">
        <v>0</v>
      </c>
      <c r="D28" s="22">
        <v>0</v>
      </c>
      <c r="E28" s="22">
        <v>0</v>
      </c>
      <c r="F28" s="22">
        <v>0</v>
      </c>
      <c r="G28" s="22">
        <f t="shared" si="0"/>
        <v>0</v>
      </c>
      <c r="H28" s="8">
        <v>26</v>
      </c>
      <c r="I28" s="8"/>
      <c r="J28" s="8"/>
      <c r="K28" s="8"/>
      <c r="L28" s="12"/>
      <c r="M28" s="12" t="s">
        <v>12</v>
      </c>
      <c r="N28" s="8">
        <v>0</v>
      </c>
      <c r="O28" s="8">
        <f>22+4</f>
        <v>26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22</v>
      </c>
      <c r="W28" s="8">
        <v>0</v>
      </c>
      <c r="X28" s="8">
        <v>4</v>
      </c>
      <c r="Y28" s="1">
        <v>0</v>
      </c>
    </row>
    <row r="29" spans="1:25" ht="12.75" x14ac:dyDescent="0.35">
      <c r="A29" s="8" t="s">
        <v>30</v>
      </c>
      <c r="B29" s="21">
        <v>45828</v>
      </c>
      <c r="C29" s="22">
        <v>1706.05</v>
      </c>
      <c r="D29" s="31">
        <v>0</v>
      </c>
      <c r="E29" s="31">
        <v>0</v>
      </c>
      <c r="F29" s="31">
        <v>0</v>
      </c>
      <c r="G29" s="22">
        <f t="shared" si="0"/>
        <v>1706.05</v>
      </c>
      <c r="H29" s="8">
        <v>33</v>
      </c>
      <c r="I29" s="8"/>
      <c r="J29" s="8"/>
      <c r="K29" s="8" t="s">
        <v>12</v>
      </c>
      <c r="L29" s="12"/>
      <c r="M29" s="12"/>
      <c r="N29" s="8">
        <v>16</v>
      </c>
      <c r="O29" s="8">
        <v>0</v>
      </c>
      <c r="P29" s="8">
        <v>8</v>
      </c>
      <c r="Q29" s="8">
        <v>1</v>
      </c>
      <c r="R29" s="8">
        <v>8</v>
      </c>
      <c r="S29" s="8">
        <v>0</v>
      </c>
      <c r="T29" s="8">
        <v>0</v>
      </c>
      <c r="U29" s="8">
        <v>1</v>
      </c>
      <c r="V29" s="8">
        <f>7+3+1</f>
        <v>11</v>
      </c>
      <c r="W29" s="8">
        <v>5</v>
      </c>
      <c r="X29" s="8">
        <f>9+4+3</f>
        <v>16</v>
      </c>
      <c r="Y29" s="1">
        <v>0</v>
      </c>
    </row>
    <row r="30" spans="1:25" ht="12.75" x14ac:dyDescent="0.35">
      <c r="A30" s="8" t="s">
        <v>31</v>
      </c>
      <c r="B30" s="21">
        <v>45829</v>
      </c>
      <c r="C30" s="30">
        <v>0</v>
      </c>
      <c r="D30" s="22">
        <v>450</v>
      </c>
      <c r="E30" s="22">
        <f>F30*1.38</f>
        <v>317.39999999999998</v>
      </c>
      <c r="F30" s="22">
        <v>230</v>
      </c>
      <c r="G30" s="22">
        <f t="shared" si="0"/>
        <v>767.4</v>
      </c>
      <c r="H30" s="8">
        <v>64</v>
      </c>
      <c r="I30" s="8"/>
      <c r="J30" s="8"/>
      <c r="K30" s="8"/>
      <c r="L30" s="12"/>
      <c r="M30" s="12"/>
      <c r="N30" s="8">
        <v>0</v>
      </c>
      <c r="O30" s="8">
        <f>2+2+7+13</f>
        <v>24</v>
      </c>
      <c r="P30" s="8">
        <v>8</v>
      </c>
      <c r="Q30" s="8">
        <f>2+4+2+24</f>
        <v>32</v>
      </c>
      <c r="R30" s="8">
        <v>0</v>
      </c>
      <c r="S30" s="8">
        <v>0</v>
      </c>
      <c r="T30" s="8">
        <v>0</v>
      </c>
      <c r="U30" s="8">
        <v>4</v>
      </c>
      <c r="V30" s="8">
        <v>10</v>
      </c>
      <c r="W30" s="8">
        <v>9</v>
      </c>
      <c r="X30" s="8">
        <f>13+4+24</f>
        <v>41</v>
      </c>
      <c r="Y30" s="1">
        <v>0</v>
      </c>
    </row>
    <row r="31" spans="1:25" ht="12.75" x14ac:dyDescent="0.35">
      <c r="A31" s="8" t="s">
        <v>32</v>
      </c>
      <c r="B31" s="21">
        <v>45830</v>
      </c>
      <c r="C31" s="30">
        <v>0</v>
      </c>
      <c r="D31" s="22">
        <v>0</v>
      </c>
      <c r="E31" s="22">
        <v>0</v>
      </c>
      <c r="F31" s="22">
        <v>0</v>
      </c>
      <c r="G31" s="22">
        <f t="shared" si="0"/>
        <v>0</v>
      </c>
      <c r="H31" s="8">
        <v>5</v>
      </c>
      <c r="I31" s="8"/>
      <c r="J31" s="8"/>
      <c r="K31" s="8"/>
      <c r="L31" s="12" t="s">
        <v>12</v>
      </c>
      <c r="M31" s="12"/>
      <c r="N31" s="8">
        <v>0</v>
      </c>
      <c r="O31" s="8">
        <v>5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2</v>
      </c>
      <c r="W31" s="8">
        <v>0</v>
      </c>
      <c r="X31" s="8">
        <v>3</v>
      </c>
      <c r="Y31" s="1">
        <v>0</v>
      </c>
    </row>
    <row r="32" spans="1:25" ht="12.75" x14ac:dyDescent="0.35">
      <c r="A32" s="8" t="s">
        <v>26</v>
      </c>
      <c r="B32" s="21">
        <v>45831</v>
      </c>
      <c r="C32" s="30">
        <v>0</v>
      </c>
      <c r="D32" s="22">
        <v>0</v>
      </c>
      <c r="E32" s="22">
        <v>0</v>
      </c>
      <c r="F32" s="22">
        <v>0</v>
      </c>
      <c r="G32" s="22">
        <f t="shared" si="0"/>
        <v>0</v>
      </c>
      <c r="H32" s="8">
        <v>16</v>
      </c>
      <c r="I32" s="8"/>
      <c r="J32" s="8"/>
      <c r="K32" s="8"/>
      <c r="L32" s="12"/>
      <c r="M32" s="12" t="s">
        <v>12</v>
      </c>
      <c r="N32" s="8">
        <v>0</v>
      </c>
      <c r="O32" s="8">
        <v>16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13</v>
      </c>
      <c r="W32" s="8">
        <v>0</v>
      </c>
      <c r="X32" s="8">
        <v>3</v>
      </c>
      <c r="Y32" s="1">
        <v>0</v>
      </c>
    </row>
    <row r="33" spans="1:25" ht="12.75" x14ac:dyDescent="0.35">
      <c r="A33" s="8" t="s">
        <v>27</v>
      </c>
      <c r="B33" s="21">
        <v>45832</v>
      </c>
      <c r="C33" s="30">
        <v>0</v>
      </c>
      <c r="D33" s="22">
        <v>0</v>
      </c>
      <c r="E33" s="22">
        <v>0</v>
      </c>
      <c r="F33" s="22">
        <v>0</v>
      </c>
      <c r="G33" s="22">
        <f t="shared" si="0"/>
        <v>0</v>
      </c>
      <c r="H33" s="8">
        <v>22</v>
      </c>
      <c r="I33" s="8"/>
      <c r="J33" s="8"/>
      <c r="K33" s="8" t="s">
        <v>12</v>
      </c>
      <c r="L33" s="12" t="s">
        <v>12</v>
      </c>
      <c r="M33" s="12" t="s">
        <v>12</v>
      </c>
      <c r="N33" s="8">
        <v>1</v>
      </c>
      <c r="O33" s="8">
        <v>21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17</v>
      </c>
      <c r="W33" s="8">
        <v>0</v>
      </c>
      <c r="X33" s="8">
        <v>5</v>
      </c>
      <c r="Y33" s="1">
        <v>0</v>
      </c>
    </row>
    <row r="34" spans="1:25" ht="12.75" x14ac:dyDescent="0.35">
      <c r="A34" s="8" t="s">
        <v>30</v>
      </c>
      <c r="B34" s="21">
        <v>45835</v>
      </c>
      <c r="C34" s="30">
        <v>0</v>
      </c>
      <c r="D34" s="22">
        <v>0</v>
      </c>
      <c r="E34" s="22">
        <v>0</v>
      </c>
      <c r="F34" s="22">
        <v>0</v>
      </c>
      <c r="G34" s="22">
        <f t="shared" si="0"/>
        <v>0</v>
      </c>
      <c r="H34" s="8">
        <v>5</v>
      </c>
      <c r="I34" s="8"/>
      <c r="J34" s="8"/>
      <c r="K34" s="8"/>
      <c r="L34" s="12" t="s">
        <v>12</v>
      </c>
      <c r="M34" s="12"/>
      <c r="N34" s="8">
        <v>0</v>
      </c>
      <c r="O34" s="8">
        <v>3</v>
      </c>
      <c r="P34" s="8">
        <v>0</v>
      </c>
      <c r="Q34" s="8">
        <v>2</v>
      </c>
      <c r="R34" s="8">
        <v>0</v>
      </c>
      <c r="S34" s="8">
        <v>0</v>
      </c>
      <c r="T34" s="8">
        <v>0</v>
      </c>
      <c r="U34" s="8">
        <v>0</v>
      </c>
      <c r="V34" s="8">
        <v>1</v>
      </c>
      <c r="W34" s="8">
        <v>0</v>
      </c>
      <c r="X34" s="8">
        <v>4</v>
      </c>
      <c r="Y34" s="1">
        <v>0</v>
      </c>
    </row>
    <row r="35" spans="1:25" ht="12.75" x14ac:dyDescent="0.35">
      <c r="A35" s="8" t="s">
        <v>31</v>
      </c>
      <c r="B35" s="21">
        <v>45836</v>
      </c>
      <c r="C35" s="30">
        <v>0</v>
      </c>
      <c r="D35" s="22">
        <v>0</v>
      </c>
      <c r="E35" s="22">
        <v>0</v>
      </c>
      <c r="F35" s="22">
        <v>0</v>
      </c>
      <c r="G35" s="22">
        <f t="shared" si="0"/>
        <v>0</v>
      </c>
      <c r="H35" s="8">
        <v>64</v>
      </c>
      <c r="I35" s="8"/>
      <c r="J35" s="8" t="s">
        <v>12</v>
      </c>
      <c r="K35" s="8"/>
      <c r="L35" s="12" t="s">
        <v>12</v>
      </c>
      <c r="M35" s="12"/>
      <c r="N35" s="8">
        <v>0</v>
      </c>
      <c r="O35" s="8">
        <f>3+12+18</f>
        <v>33</v>
      </c>
      <c r="P35" s="8">
        <f>2+11</f>
        <v>13</v>
      </c>
      <c r="Q35" s="8">
        <f>1+2+15</f>
        <v>18</v>
      </c>
      <c r="R35" s="8">
        <v>0</v>
      </c>
      <c r="S35" s="8">
        <v>0</v>
      </c>
      <c r="T35" s="8">
        <v>0</v>
      </c>
      <c r="U35" s="8">
        <v>4</v>
      </c>
      <c r="V35" s="8">
        <f>12+4</f>
        <v>16</v>
      </c>
      <c r="W35" s="8">
        <v>0</v>
      </c>
      <c r="X35" s="8">
        <f>18+11+15</f>
        <v>44</v>
      </c>
      <c r="Y35" s="1">
        <v>0</v>
      </c>
    </row>
    <row r="36" spans="1:25" ht="12.75" x14ac:dyDescent="0.35">
      <c r="A36" s="8" t="s">
        <v>32</v>
      </c>
      <c r="B36" s="21">
        <v>45837</v>
      </c>
      <c r="C36" s="30">
        <v>0</v>
      </c>
      <c r="D36" s="22">
        <v>0</v>
      </c>
      <c r="E36" s="22">
        <v>0</v>
      </c>
      <c r="F36" s="22">
        <v>0</v>
      </c>
      <c r="G36" s="22">
        <f t="shared" si="0"/>
        <v>0</v>
      </c>
      <c r="H36" s="8">
        <v>119</v>
      </c>
      <c r="I36" s="8"/>
      <c r="J36" s="8" t="s">
        <v>12</v>
      </c>
      <c r="K36" s="8"/>
      <c r="L36" s="12" t="s">
        <v>12</v>
      </c>
      <c r="M36" s="12"/>
      <c r="N36" s="8">
        <v>0</v>
      </c>
      <c r="O36" s="8">
        <f>10+21+5+42</f>
        <v>78</v>
      </c>
      <c r="P36" s="8">
        <v>2</v>
      </c>
      <c r="Q36" s="8">
        <f>7+3+29</f>
        <v>39</v>
      </c>
      <c r="R36" s="8">
        <v>0</v>
      </c>
      <c r="S36" s="8">
        <v>0</v>
      </c>
      <c r="T36" s="8">
        <v>0</v>
      </c>
      <c r="U36" s="8">
        <v>10</v>
      </c>
      <c r="V36" s="8">
        <f>21+7</f>
        <v>28</v>
      </c>
      <c r="W36" s="8">
        <f>5+3</f>
        <v>8</v>
      </c>
      <c r="X36" s="8">
        <f>42+2+29</f>
        <v>73</v>
      </c>
      <c r="Y36" s="1">
        <v>0</v>
      </c>
    </row>
    <row r="37" spans="1:25" ht="12.75" x14ac:dyDescent="0.35">
      <c r="A37" s="8" t="s">
        <v>26</v>
      </c>
      <c r="B37" s="21">
        <v>45838</v>
      </c>
      <c r="C37" s="30">
        <v>0</v>
      </c>
      <c r="D37" s="22">
        <v>0</v>
      </c>
      <c r="E37" s="22">
        <v>0</v>
      </c>
      <c r="F37" s="22">
        <v>0</v>
      </c>
      <c r="G37" s="22">
        <f t="shared" si="0"/>
        <v>0</v>
      </c>
      <c r="H37" s="8">
        <v>69</v>
      </c>
      <c r="I37" s="8"/>
      <c r="J37" s="8"/>
      <c r="K37" s="8" t="s">
        <v>12</v>
      </c>
      <c r="L37" s="12" t="s">
        <v>12</v>
      </c>
      <c r="M37" s="12"/>
      <c r="N37" s="8">
        <f>1+6+23</f>
        <v>30</v>
      </c>
      <c r="O37" s="8">
        <f>2+7+5</f>
        <v>14</v>
      </c>
      <c r="P37" s="8">
        <v>0</v>
      </c>
      <c r="Q37" s="8">
        <f>1+4+10</f>
        <v>15</v>
      </c>
      <c r="R37" s="8">
        <v>10</v>
      </c>
      <c r="S37" s="8">
        <v>0</v>
      </c>
      <c r="T37" s="8">
        <v>16</v>
      </c>
      <c r="U37" s="8">
        <f>1+2+1</f>
        <v>4</v>
      </c>
      <c r="V37" s="8">
        <f>6+7+4+10</f>
        <v>27</v>
      </c>
      <c r="W37" s="8">
        <v>0</v>
      </c>
      <c r="X37" s="8">
        <f>23+5+10</f>
        <v>38</v>
      </c>
      <c r="Y37" s="1">
        <v>0</v>
      </c>
    </row>
    <row r="38" spans="1:25" ht="12.75" x14ac:dyDescent="0.35">
      <c r="A38" s="8" t="s">
        <v>27</v>
      </c>
      <c r="B38" s="21">
        <v>45839</v>
      </c>
      <c r="C38" s="30">
        <v>0</v>
      </c>
      <c r="D38" s="22">
        <v>0</v>
      </c>
      <c r="E38" s="22">
        <v>0</v>
      </c>
      <c r="F38" s="22">
        <v>0</v>
      </c>
      <c r="G38" s="22">
        <f t="shared" si="0"/>
        <v>0</v>
      </c>
      <c r="H38" s="8">
        <v>28</v>
      </c>
      <c r="I38" s="8"/>
      <c r="J38" s="8"/>
      <c r="K38" s="8"/>
      <c r="L38" s="12"/>
      <c r="M38" s="12"/>
      <c r="N38" s="8">
        <v>0</v>
      </c>
      <c r="O38" s="8">
        <f>1+7+2+13</f>
        <v>23</v>
      </c>
      <c r="P38" s="8">
        <v>0</v>
      </c>
      <c r="Q38" s="8">
        <v>5</v>
      </c>
      <c r="R38" s="8">
        <v>0</v>
      </c>
      <c r="S38" s="8">
        <v>0</v>
      </c>
      <c r="T38" s="8">
        <v>12</v>
      </c>
      <c r="U38" s="8">
        <v>1</v>
      </c>
      <c r="V38" s="8">
        <v>7</v>
      </c>
      <c r="W38" s="8">
        <v>2</v>
      </c>
      <c r="X38" s="8">
        <v>18</v>
      </c>
      <c r="Y38" s="1">
        <v>0</v>
      </c>
    </row>
    <row r="39" spans="1:25" ht="12.75" x14ac:dyDescent="0.35">
      <c r="A39" s="8" t="s">
        <v>29</v>
      </c>
      <c r="B39" s="21">
        <v>45841</v>
      </c>
      <c r="C39" s="30">
        <v>0</v>
      </c>
      <c r="D39" s="22">
        <v>275</v>
      </c>
      <c r="E39" s="22">
        <f>F39*1.38</f>
        <v>135.23999999999998</v>
      </c>
      <c r="F39" s="22">
        <v>98</v>
      </c>
      <c r="G39" s="22">
        <f t="shared" si="0"/>
        <v>410.24</v>
      </c>
      <c r="H39" s="8">
        <v>41</v>
      </c>
      <c r="I39" s="8"/>
      <c r="J39" s="8"/>
      <c r="K39" s="8"/>
      <c r="L39" s="12"/>
      <c r="M39" s="12"/>
      <c r="N39" s="8">
        <v>0</v>
      </c>
      <c r="O39" s="8">
        <f>3+7+26</f>
        <v>36</v>
      </c>
      <c r="P39" s="8">
        <v>0</v>
      </c>
      <c r="Q39" s="8">
        <f>1+1+3</f>
        <v>5</v>
      </c>
      <c r="R39" s="8">
        <v>0</v>
      </c>
      <c r="S39" s="8">
        <v>0</v>
      </c>
      <c r="T39" s="8">
        <v>0</v>
      </c>
      <c r="U39" s="8">
        <f>3+1</f>
        <v>4</v>
      </c>
      <c r="V39" s="8">
        <f>7+1</f>
        <v>8</v>
      </c>
      <c r="W39" s="8">
        <v>0</v>
      </c>
      <c r="X39" s="8">
        <f>26+3</f>
        <v>29</v>
      </c>
      <c r="Y39" s="1">
        <v>0</v>
      </c>
    </row>
    <row r="40" spans="1:25" ht="12.75" x14ac:dyDescent="0.35">
      <c r="A40" s="8" t="s">
        <v>30</v>
      </c>
      <c r="B40" s="21">
        <v>45842</v>
      </c>
      <c r="C40" s="30">
        <v>0</v>
      </c>
      <c r="D40" s="22">
        <v>0</v>
      </c>
      <c r="E40" s="22">
        <v>0</v>
      </c>
      <c r="F40" s="22">
        <v>0</v>
      </c>
      <c r="G40" s="22">
        <f t="shared" si="0"/>
        <v>0</v>
      </c>
      <c r="H40" s="8">
        <v>26</v>
      </c>
      <c r="I40" s="8"/>
      <c r="J40" s="8"/>
      <c r="K40" s="8" t="s">
        <v>12</v>
      </c>
      <c r="L40" s="12"/>
      <c r="M40" s="12"/>
      <c r="N40" s="8">
        <v>8</v>
      </c>
      <c r="O40" s="8">
        <v>1</v>
      </c>
      <c r="P40" s="8">
        <v>2</v>
      </c>
      <c r="Q40" s="8">
        <f>1+4+3+7</f>
        <v>15</v>
      </c>
      <c r="R40" s="8">
        <v>0</v>
      </c>
      <c r="S40" s="8">
        <v>0</v>
      </c>
      <c r="T40" s="8">
        <v>5</v>
      </c>
      <c r="U40" s="8">
        <v>1</v>
      </c>
      <c r="V40" s="8">
        <f>1+4</f>
        <v>5</v>
      </c>
      <c r="W40" s="8">
        <f>1+1+3</f>
        <v>5</v>
      </c>
      <c r="X40" s="8">
        <f>8+7</f>
        <v>15</v>
      </c>
      <c r="Y40" s="1">
        <v>0</v>
      </c>
    </row>
    <row r="41" spans="1:25" ht="12.75" x14ac:dyDescent="0.35">
      <c r="A41" s="8" t="s">
        <v>31</v>
      </c>
      <c r="B41" s="21">
        <v>45843</v>
      </c>
      <c r="C41" s="30">
        <v>0</v>
      </c>
      <c r="D41" s="22">
        <v>0</v>
      </c>
      <c r="E41" s="22">
        <v>0</v>
      </c>
      <c r="F41" s="22">
        <v>0</v>
      </c>
      <c r="G41" s="22">
        <f t="shared" si="0"/>
        <v>0</v>
      </c>
      <c r="H41" s="8">
        <v>6</v>
      </c>
      <c r="I41" s="8"/>
      <c r="J41" s="8"/>
      <c r="K41" s="8"/>
      <c r="L41" s="12" t="s">
        <v>12</v>
      </c>
      <c r="M41" s="12"/>
      <c r="N41" s="8">
        <v>0</v>
      </c>
      <c r="O41" s="8">
        <v>3</v>
      </c>
      <c r="P41" s="8">
        <v>0</v>
      </c>
      <c r="Q41" s="8">
        <f>1+2</f>
        <v>3</v>
      </c>
      <c r="R41" s="8">
        <v>0</v>
      </c>
      <c r="S41" s="8">
        <v>0</v>
      </c>
      <c r="T41" s="8">
        <v>0</v>
      </c>
      <c r="U41" s="8">
        <v>1</v>
      </c>
      <c r="V41" s="8">
        <v>0</v>
      </c>
      <c r="W41" s="8">
        <v>0</v>
      </c>
      <c r="X41" s="8">
        <f>3+2</f>
        <v>5</v>
      </c>
      <c r="Y41" s="1">
        <v>0</v>
      </c>
    </row>
    <row r="42" spans="1:25" ht="12.75" x14ac:dyDescent="0.35">
      <c r="A42" s="8" t="s">
        <v>32</v>
      </c>
      <c r="B42" s="21">
        <v>45844</v>
      </c>
      <c r="C42" s="30">
        <v>0</v>
      </c>
      <c r="D42" s="22">
        <v>0</v>
      </c>
      <c r="E42" s="22">
        <v>0</v>
      </c>
      <c r="F42" s="22">
        <v>0</v>
      </c>
      <c r="G42" s="22">
        <f t="shared" si="0"/>
        <v>0</v>
      </c>
      <c r="H42" s="8">
        <v>16</v>
      </c>
      <c r="I42" s="8"/>
      <c r="J42" s="8"/>
      <c r="K42" s="8"/>
      <c r="L42" s="12"/>
      <c r="M42" s="12"/>
      <c r="N42" s="8">
        <v>0</v>
      </c>
      <c r="O42" s="8">
        <f>3+5</f>
        <v>8</v>
      </c>
      <c r="P42" s="8">
        <f>1+2+2</f>
        <v>5</v>
      </c>
      <c r="Q42" s="8">
        <v>1</v>
      </c>
      <c r="R42" s="8">
        <v>0</v>
      </c>
      <c r="S42" s="8">
        <v>2</v>
      </c>
      <c r="T42" s="8">
        <v>0</v>
      </c>
      <c r="U42" s="8">
        <f>3+1</f>
        <v>4</v>
      </c>
      <c r="V42" s="8">
        <f>2+1</f>
        <v>3</v>
      </c>
      <c r="W42" s="8">
        <v>0</v>
      </c>
      <c r="X42" s="8">
        <f>5+2+1+1</f>
        <v>9</v>
      </c>
      <c r="Y42" s="1">
        <v>0</v>
      </c>
    </row>
    <row r="43" spans="1:25" ht="12.75" x14ac:dyDescent="0.35">
      <c r="A43" s="8" t="s">
        <v>26</v>
      </c>
      <c r="B43" s="21">
        <v>45845</v>
      </c>
      <c r="C43" s="30">
        <v>0</v>
      </c>
      <c r="D43" s="22">
        <v>0</v>
      </c>
      <c r="E43" s="22">
        <v>0</v>
      </c>
      <c r="F43" s="22">
        <v>0</v>
      </c>
      <c r="G43" s="22">
        <f t="shared" si="0"/>
        <v>0</v>
      </c>
      <c r="H43" s="8">
        <v>6</v>
      </c>
      <c r="I43" s="8"/>
      <c r="J43" s="8"/>
      <c r="K43" s="8"/>
      <c r="L43" s="12" t="s">
        <v>12</v>
      </c>
      <c r="M43" s="12"/>
      <c r="N43" s="8">
        <v>0</v>
      </c>
      <c r="O43" s="8">
        <f>1+2+1</f>
        <v>4</v>
      </c>
      <c r="P43" s="8">
        <v>0</v>
      </c>
      <c r="Q43" s="8">
        <v>2</v>
      </c>
      <c r="R43" s="8">
        <v>0</v>
      </c>
      <c r="S43" s="8">
        <v>0</v>
      </c>
      <c r="T43" s="8">
        <v>0</v>
      </c>
      <c r="U43" s="8">
        <v>1</v>
      </c>
      <c r="V43" s="8">
        <v>2</v>
      </c>
      <c r="W43" s="8">
        <v>0</v>
      </c>
      <c r="X43" s="8">
        <f>1+2</f>
        <v>3</v>
      </c>
      <c r="Y43" s="1">
        <v>0</v>
      </c>
    </row>
    <row r="44" spans="1:25" ht="12.75" x14ac:dyDescent="0.35">
      <c r="A44" s="8" t="s">
        <v>27</v>
      </c>
      <c r="B44" s="21">
        <v>45846</v>
      </c>
      <c r="C44" s="30">
        <v>0</v>
      </c>
      <c r="D44" s="22">
        <v>0</v>
      </c>
      <c r="E44" s="22">
        <v>0</v>
      </c>
      <c r="F44" s="22">
        <v>0</v>
      </c>
      <c r="G44" s="22">
        <f t="shared" si="0"/>
        <v>0</v>
      </c>
      <c r="H44" s="8">
        <v>0</v>
      </c>
      <c r="I44" s="8"/>
      <c r="J44" s="8"/>
      <c r="K44" s="8"/>
      <c r="L44" s="12" t="s">
        <v>12</v>
      </c>
      <c r="M44" s="12"/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1">
        <v>0</v>
      </c>
    </row>
    <row r="45" spans="1:25" ht="12.75" x14ac:dyDescent="0.35">
      <c r="A45" s="8" t="s">
        <v>28</v>
      </c>
      <c r="B45" s="21">
        <v>45847</v>
      </c>
      <c r="C45" s="30">
        <v>0</v>
      </c>
      <c r="D45" s="22">
        <v>0</v>
      </c>
      <c r="E45" s="22">
        <v>0</v>
      </c>
      <c r="F45" s="22">
        <v>0</v>
      </c>
      <c r="G45" s="22">
        <f t="shared" si="0"/>
        <v>0</v>
      </c>
      <c r="H45" s="8">
        <v>0</v>
      </c>
      <c r="I45" s="8"/>
      <c r="J45" s="8"/>
      <c r="K45" s="8"/>
      <c r="L45" s="12"/>
      <c r="M45" s="12"/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1">
        <v>0</v>
      </c>
    </row>
    <row r="46" spans="1:25" ht="12.75" x14ac:dyDescent="0.35">
      <c r="A46" s="8" t="s">
        <v>30</v>
      </c>
      <c r="B46" s="21">
        <v>45849</v>
      </c>
      <c r="C46" s="30">
        <v>0</v>
      </c>
      <c r="D46" s="22">
        <v>0</v>
      </c>
      <c r="E46" s="22">
        <v>0</v>
      </c>
      <c r="F46" s="22">
        <v>0</v>
      </c>
      <c r="G46" s="22">
        <f t="shared" si="0"/>
        <v>0</v>
      </c>
      <c r="H46" s="8">
        <v>38</v>
      </c>
      <c r="I46" s="8"/>
      <c r="J46" s="8"/>
      <c r="K46" s="8" t="s">
        <v>12</v>
      </c>
      <c r="L46" s="12" t="s">
        <v>12</v>
      </c>
      <c r="M46" s="12"/>
      <c r="N46" s="8">
        <f>5+4+1+17</f>
        <v>27</v>
      </c>
      <c r="O46" s="8">
        <f>1+4+2</f>
        <v>7</v>
      </c>
      <c r="P46" s="8">
        <v>2</v>
      </c>
      <c r="Q46" s="8">
        <v>2</v>
      </c>
      <c r="R46" s="8">
        <v>0</v>
      </c>
      <c r="S46" s="8">
        <v>0</v>
      </c>
      <c r="T46" s="8">
        <v>6</v>
      </c>
      <c r="U46" s="8">
        <v>6</v>
      </c>
      <c r="V46" s="8">
        <f>4+4</f>
        <v>8</v>
      </c>
      <c r="W46" s="8">
        <v>1</v>
      </c>
      <c r="X46" s="8">
        <f>17+2+2+2</f>
        <v>23</v>
      </c>
      <c r="Y46" s="1">
        <v>0</v>
      </c>
    </row>
    <row r="47" spans="1:25" ht="12.75" x14ac:dyDescent="0.35">
      <c r="A47" s="8" t="s">
        <v>31</v>
      </c>
      <c r="B47" s="21">
        <v>45850</v>
      </c>
      <c r="C47" s="30">
        <v>0</v>
      </c>
      <c r="D47" s="22">
        <v>0</v>
      </c>
      <c r="E47" s="22">
        <v>0</v>
      </c>
      <c r="F47" s="22">
        <v>0</v>
      </c>
      <c r="G47" s="22">
        <f t="shared" si="0"/>
        <v>0</v>
      </c>
      <c r="H47" s="8">
        <v>19</v>
      </c>
      <c r="I47" s="8"/>
      <c r="J47" s="8"/>
      <c r="K47" s="8"/>
      <c r="L47" s="12" t="s">
        <v>12</v>
      </c>
      <c r="M47" s="12"/>
      <c r="N47" s="12">
        <v>0</v>
      </c>
      <c r="O47" s="12">
        <f>1+4+3</f>
        <v>8</v>
      </c>
      <c r="P47" s="8">
        <v>2</v>
      </c>
      <c r="Q47" s="8">
        <f>2+2+5</f>
        <v>9</v>
      </c>
      <c r="R47" s="12">
        <v>0</v>
      </c>
      <c r="S47" s="8">
        <v>0</v>
      </c>
      <c r="T47" s="8">
        <v>1</v>
      </c>
      <c r="U47" s="12">
        <f>1+3</f>
        <v>4</v>
      </c>
      <c r="V47" s="8">
        <f>4+2</f>
        <v>6</v>
      </c>
      <c r="W47" s="8">
        <v>0</v>
      </c>
      <c r="X47" s="8">
        <f>3+2+4</f>
        <v>9</v>
      </c>
      <c r="Y47" s="1">
        <v>0</v>
      </c>
    </row>
    <row r="48" spans="1:25" ht="12.75" x14ac:dyDescent="0.35">
      <c r="A48" s="8" t="s">
        <v>32</v>
      </c>
      <c r="B48" s="21">
        <v>45851</v>
      </c>
      <c r="C48" s="30">
        <v>0</v>
      </c>
      <c r="D48" s="22">
        <v>0</v>
      </c>
      <c r="E48" s="22">
        <v>0</v>
      </c>
      <c r="F48" s="22">
        <v>0</v>
      </c>
      <c r="G48" s="22">
        <f t="shared" si="0"/>
        <v>0</v>
      </c>
      <c r="H48" s="8">
        <v>8</v>
      </c>
      <c r="I48" s="8"/>
      <c r="J48" s="8"/>
      <c r="K48" s="8"/>
      <c r="L48" s="12"/>
      <c r="M48" s="12"/>
      <c r="N48" s="8">
        <v>0</v>
      </c>
      <c r="O48" s="8">
        <f>1+1+4</f>
        <v>6</v>
      </c>
      <c r="P48" s="8">
        <v>0</v>
      </c>
      <c r="Q48" s="8">
        <v>2</v>
      </c>
      <c r="R48" s="8">
        <v>0</v>
      </c>
      <c r="S48" s="8">
        <v>0</v>
      </c>
      <c r="T48" s="8">
        <v>4</v>
      </c>
      <c r="U48" s="8">
        <v>1</v>
      </c>
      <c r="V48" s="8">
        <v>1</v>
      </c>
      <c r="W48" s="8">
        <v>0</v>
      </c>
      <c r="X48" s="8">
        <f>4+2</f>
        <v>6</v>
      </c>
      <c r="Y48" s="1">
        <v>0</v>
      </c>
    </row>
    <row r="49" spans="1:25" ht="12.75" x14ac:dyDescent="0.35">
      <c r="A49" s="8" t="s">
        <v>26</v>
      </c>
      <c r="B49" s="21">
        <v>45852</v>
      </c>
      <c r="C49" s="30">
        <v>0</v>
      </c>
      <c r="D49" s="22">
        <v>0</v>
      </c>
      <c r="E49" s="22">
        <v>0</v>
      </c>
      <c r="F49" s="22">
        <v>0</v>
      </c>
      <c r="G49" s="22">
        <f t="shared" si="0"/>
        <v>0</v>
      </c>
      <c r="H49" s="8">
        <v>84</v>
      </c>
      <c r="I49" s="8"/>
      <c r="J49" s="8"/>
      <c r="K49" s="8" t="s">
        <v>12</v>
      </c>
      <c r="L49" s="12"/>
      <c r="M49" s="12"/>
      <c r="N49" s="8">
        <f>7+1+29</f>
        <v>37</v>
      </c>
      <c r="O49" s="8">
        <f>1+8+1+4+22</f>
        <v>36</v>
      </c>
      <c r="P49" s="8">
        <v>0</v>
      </c>
      <c r="Q49" s="8">
        <v>0</v>
      </c>
      <c r="R49" s="8">
        <f>1+2+2+4</f>
        <v>9</v>
      </c>
      <c r="S49" s="8">
        <v>2</v>
      </c>
      <c r="T49" s="8">
        <v>15</v>
      </c>
      <c r="U49" s="8">
        <f>1+1</f>
        <v>2</v>
      </c>
      <c r="V49" s="8">
        <f>7+8+2+22</f>
        <v>39</v>
      </c>
      <c r="W49" s="8">
        <f>1+1+2</f>
        <v>4</v>
      </c>
      <c r="X49" s="8">
        <f>29+4+4+2</f>
        <v>39</v>
      </c>
      <c r="Y49" s="14">
        <v>0</v>
      </c>
    </row>
    <row r="50" spans="1:25" ht="12.75" x14ac:dyDescent="0.35">
      <c r="A50" s="8" t="s">
        <v>27</v>
      </c>
      <c r="B50" s="21">
        <v>45853</v>
      </c>
      <c r="C50" s="30">
        <v>0</v>
      </c>
      <c r="D50" s="22">
        <v>0</v>
      </c>
      <c r="E50" s="22">
        <v>0</v>
      </c>
      <c r="F50" s="22">
        <v>0</v>
      </c>
      <c r="G50" s="22">
        <f t="shared" si="0"/>
        <v>0</v>
      </c>
      <c r="H50" s="8">
        <v>17</v>
      </c>
      <c r="I50" s="8"/>
      <c r="J50" s="8"/>
      <c r="K50" s="8"/>
      <c r="L50" s="12"/>
      <c r="M50" s="12" t="s">
        <v>12</v>
      </c>
      <c r="N50" s="8">
        <v>0</v>
      </c>
      <c r="O50" s="8">
        <f>2+8+7</f>
        <v>17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2</v>
      </c>
      <c r="V50" s="8">
        <v>8</v>
      </c>
      <c r="W50" s="8">
        <v>0</v>
      </c>
      <c r="X50" s="8">
        <v>7</v>
      </c>
      <c r="Y50" s="14">
        <v>0</v>
      </c>
    </row>
    <row r="51" spans="1:25" ht="12.75" x14ac:dyDescent="0.35">
      <c r="A51" s="8" t="s">
        <v>28</v>
      </c>
      <c r="B51" s="21">
        <v>45854</v>
      </c>
      <c r="C51" s="30">
        <v>0</v>
      </c>
      <c r="D51" s="22">
        <v>0</v>
      </c>
      <c r="E51" s="22">
        <v>0</v>
      </c>
      <c r="F51" s="22">
        <v>0</v>
      </c>
      <c r="G51" s="22">
        <f t="shared" si="0"/>
        <v>0</v>
      </c>
      <c r="H51" s="8">
        <v>0</v>
      </c>
      <c r="I51" s="8"/>
      <c r="J51" s="8"/>
      <c r="K51" s="8"/>
      <c r="L51" s="12"/>
      <c r="M51" s="12"/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14">
        <v>0</v>
      </c>
    </row>
    <row r="52" spans="1:25" ht="12.75" x14ac:dyDescent="0.35">
      <c r="A52" s="8" t="s">
        <v>29</v>
      </c>
      <c r="B52" s="21">
        <v>45855</v>
      </c>
      <c r="C52" s="30">
        <v>0</v>
      </c>
      <c r="D52" s="22">
        <v>230</v>
      </c>
      <c r="E52" s="22">
        <f>F52*1.38</f>
        <v>409.85999999999996</v>
      </c>
      <c r="F52" s="22">
        <v>297</v>
      </c>
      <c r="G52" s="22">
        <f t="shared" si="0"/>
        <v>639.8599999999999</v>
      </c>
      <c r="H52" s="8">
        <v>9</v>
      </c>
      <c r="I52" s="8"/>
      <c r="J52" s="8"/>
      <c r="K52" s="8" t="s">
        <v>12</v>
      </c>
      <c r="L52" s="12"/>
      <c r="M52" s="12"/>
      <c r="N52" s="8">
        <f>1+1+3</f>
        <v>5</v>
      </c>
      <c r="O52" s="8">
        <v>0</v>
      </c>
      <c r="P52" s="8">
        <v>0</v>
      </c>
      <c r="Q52" s="8">
        <v>0</v>
      </c>
      <c r="R52" s="8">
        <f>1+1+2</f>
        <v>4</v>
      </c>
      <c r="S52" s="8">
        <v>0</v>
      </c>
      <c r="T52" s="15">
        <v>0</v>
      </c>
      <c r="U52" s="15">
        <v>0</v>
      </c>
      <c r="V52" s="15">
        <f t="shared" ref="V52:W52" si="1">1+1</f>
        <v>2</v>
      </c>
      <c r="W52" s="15">
        <f t="shared" si="1"/>
        <v>2</v>
      </c>
      <c r="X52" s="15">
        <f>3+2</f>
        <v>5</v>
      </c>
      <c r="Y52" s="16">
        <v>0</v>
      </c>
    </row>
    <row r="53" spans="1:25" ht="12.75" x14ac:dyDescent="0.35">
      <c r="A53" s="8" t="s">
        <v>30</v>
      </c>
      <c r="B53" s="21">
        <v>45856</v>
      </c>
      <c r="C53" s="22">
        <v>1536.9</v>
      </c>
      <c r="D53" s="31">
        <v>0</v>
      </c>
      <c r="E53" s="31">
        <v>0</v>
      </c>
      <c r="F53" s="31">
        <v>0</v>
      </c>
      <c r="G53" s="22">
        <f t="shared" si="0"/>
        <v>1536.9</v>
      </c>
      <c r="H53" s="8">
        <v>33</v>
      </c>
      <c r="I53" s="8"/>
      <c r="J53" s="8"/>
      <c r="K53" s="8"/>
      <c r="L53" s="12"/>
      <c r="M53" s="12"/>
      <c r="N53" s="8">
        <v>0</v>
      </c>
      <c r="O53" s="8">
        <f>3+1</f>
        <v>4</v>
      </c>
      <c r="P53" s="8">
        <v>2</v>
      </c>
      <c r="Q53" s="8">
        <f>3+3+13</f>
        <v>19</v>
      </c>
      <c r="R53" s="8">
        <f>2+2+4</f>
        <v>8</v>
      </c>
      <c r="S53" s="8">
        <v>0</v>
      </c>
      <c r="T53" s="8">
        <v>7</v>
      </c>
      <c r="U53" s="8">
        <v>0</v>
      </c>
      <c r="V53" s="8">
        <f>3+3+2</f>
        <v>8</v>
      </c>
      <c r="W53" s="8">
        <f>3+2</f>
        <v>5</v>
      </c>
      <c r="X53" s="8">
        <f>1+2+13+4</f>
        <v>20</v>
      </c>
      <c r="Y53" s="14">
        <v>0</v>
      </c>
    </row>
    <row r="54" spans="1:25" ht="12.75" x14ac:dyDescent="0.35">
      <c r="A54" s="8" t="s">
        <v>31</v>
      </c>
      <c r="B54" s="21">
        <v>45857</v>
      </c>
      <c r="C54" s="30">
        <v>0</v>
      </c>
      <c r="D54" s="22">
        <v>0</v>
      </c>
      <c r="E54" s="22">
        <v>0</v>
      </c>
      <c r="F54" s="22">
        <v>0</v>
      </c>
      <c r="G54" s="22">
        <f t="shared" si="0"/>
        <v>0</v>
      </c>
      <c r="H54" s="8">
        <v>18</v>
      </c>
      <c r="I54" s="8"/>
      <c r="J54" s="8"/>
      <c r="K54" s="8"/>
      <c r="L54" s="12"/>
      <c r="M54" s="12"/>
      <c r="N54" s="8">
        <v>0</v>
      </c>
      <c r="O54" s="8">
        <v>0</v>
      </c>
      <c r="P54" s="8">
        <f>3+4</f>
        <v>7</v>
      </c>
      <c r="Q54" s="8">
        <f>1+6</f>
        <v>7</v>
      </c>
      <c r="R54" s="8">
        <v>0</v>
      </c>
      <c r="S54" s="8">
        <f>1+1+2</f>
        <v>4</v>
      </c>
      <c r="T54" s="8">
        <v>0</v>
      </c>
      <c r="U54" s="8">
        <f>3</f>
        <v>3</v>
      </c>
      <c r="V54" s="8">
        <f>1+1</f>
        <v>2</v>
      </c>
      <c r="W54" s="8">
        <f>1</f>
        <v>1</v>
      </c>
      <c r="X54" s="8">
        <f>4+6+2</f>
        <v>12</v>
      </c>
      <c r="Y54" s="14">
        <v>0</v>
      </c>
    </row>
    <row r="55" spans="1:25" ht="12.75" x14ac:dyDescent="0.35">
      <c r="A55" s="8" t="s">
        <v>32</v>
      </c>
      <c r="B55" s="21">
        <v>45858</v>
      </c>
      <c r="C55" s="30">
        <v>0</v>
      </c>
      <c r="D55" s="22">
        <v>0</v>
      </c>
      <c r="E55" s="22">
        <v>0</v>
      </c>
      <c r="F55" s="22">
        <v>0</v>
      </c>
      <c r="G55" s="22">
        <f t="shared" si="0"/>
        <v>0</v>
      </c>
      <c r="H55" s="8">
        <v>20</v>
      </c>
      <c r="I55" s="8"/>
      <c r="J55" s="8"/>
      <c r="K55" s="8"/>
      <c r="L55" s="12"/>
      <c r="M55" s="12"/>
      <c r="N55" s="8">
        <v>0</v>
      </c>
      <c r="O55" s="8">
        <f>2+2+9</f>
        <v>13</v>
      </c>
      <c r="P55" s="8">
        <v>0</v>
      </c>
      <c r="Q55" s="8">
        <f>2+5</f>
        <v>7</v>
      </c>
      <c r="R55" s="8">
        <v>0</v>
      </c>
      <c r="S55" s="8">
        <v>0</v>
      </c>
      <c r="T55" s="8">
        <v>0</v>
      </c>
      <c r="U55" s="8">
        <v>2</v>
      </c>
      <c r="V55" s="8">
        <f>2+2</f>
        <v>4</v>
      </c>
      <c r="W55" s="8">
        <v>0</v>
      </c>
      <c r="X55" s="8">
        <f>9+5</f>
        <v>14</v>
      </c>
      <c r="Y55" s="14">
        <v>0</v>
      </c>
    </row>
    <row r="56" spans="1:25" ht="12.75" x14ac:dyDescent="0.35">
      <c r="A56" s="8" t="s">
        <v>26</v>
      </c>
      <c r="B56" s="21">
        <v>45859</v>
      </c>
      <c r="C56" s="30">
        <v>0</v>
      </c>
      <c r="D56" s="22">
        <v>0</v>
      </c>
      <c r="E56" s="22">
        <v>0</v>
      </c>
      <c r="F56" s="22">
        <v>0</v>
      </c>
      <c r="G56" s="22">
        <f t="shared" si="0"/>
        <v>0</v>
      </c>
      <c r="H56" s="8">
        <v>2</v>
      </c>
      <c r="I56" s="8"/>
      <c r="J56" s="8"/>
      <c r="K56" s="8"/>
      <c r="L56" s="12"/>
      <c r="M56" s="12"/>
      <c r="N56" s="8">
        <v>0</v>
      </c>
      <c r="O56" s="8">
        <v>2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1</v>
      </c>
      <c r="V56" s="8">
        <v>0</v>
      </c>
      <c r="W56" s="8">
        <v>0</v>
      </c>
      <c r="X56" s="8">
        <v>1</v>
      </c>
      <c r="Y56" s="14">
        <v>0</v>
      </c>
    </row>
    <row r="57" spans="1:25" ht="12.75" x14ac:dyDescent="0.35">
      <c r="A57" s="8" t="s">
        <v>27</v>
      </c>
      <c r="B57" s="21">
        <v>45860</v>
      </c>
      <c r="C57" s="30">
        <v>0</v>
      </c>
      <c r="D57" s="22">
        <v>0</v>
      </c>
      <c r="E57" s="22">
        <v>0</v>
      </c>
      <c r="F57" s="22">
        <v>0</v>
      </c>
      <c r="G57" s="22">
        <f t="shared" si="0"/>
        <v>0</v>
      </c>
      <c r="H57" s="8">
        <v>0</v>
      </c>
      <c r="I57" s="8"/>
      <c r="J57" s="8"/>
      <c r="K57" s="8"/>
      <c r="L57" s="12"/>
      <c r="M57" s="12"/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14">
        <v>0</v>
      </c>
    </row>
    <row r="58" spans="1:25" ht="12.75" x14ac:dyDescent="0.35">
      <c r="A58" s="8" t="s">
        <v>28</v>
      </c>
      <c r="B58" s="21">
        <v>45861</v>
      </c>
      <c r="C58" s="30">
        <v>0</v>
      </c>
      <c r="D58" s="22">
        <v>0</v>
      </c>
      <c r="E58" s="22">
        <v>0</v>
      </c>
      <c r="F58" s="22">
        <v>0</v>
      </c>
      <c r="G58" s="22">
        <f t="shared" si="0"/>
        <v>0</v>
      </c>
      <c r="H58" s="8">
        <v>0</v>
      </c>
      <c r="I58" s="8"/>
      <c r="J58" s="8"/>
      <c r="K58" s="8"/>
      <c r="L58" s="12"/>
      <c r="M58" s="12" t="s">
        <v>12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14">
        <v>0</v>
      </c>
    </row>
    <row r="59" spans="1:25" ht="12.75" x14ac:dyDescent="0.35">
      <c r="A59" s="8" t="s">
        <v>30</v>
      </c>
      <c r="B59" s="21">
        <v>45863</v>
      </c>
      <c r="C59" s="30">
        <v>0</v>
      </c>
      <c r="D59" s="22">
        <v>0</v>
      </c>
      <c r="E59" s="22">
        <v>0</v>
      </c>
      <c r="F59" s="22">
        <v>0</v>
      </c>
      <c r="G59" s="22">
        <f t="shared" si="0"/>
        <v>0</v>
      </c>
      <c r="H59" s="8">
        <v>29</v>
      </c>
      <c r="I59" s="8"/>
      <c r="J59" s="8"/>
      <c r="K59" s="8"/>
      <c r="L59" s="12"/>
      <c r="M59" s="12"/>
      <c r="N59" s="8">
        <v>0</v>
      </c>
      <c r="O59" s="8">
        <f>1+3</f>
        <v>4</v>
      </c>
      <c r="P59" s="8">
        <f>3+1+3</f>
        <v>7</v>
      </c>
      <c r="Q59" s="8">
        <f>1+8+9</f>
        <v>18</v>
      </c>
      <c r="R59" s="8">
        <v>0</v>
      </c>
      <c r="S59" s="8">
        <v>0</v>
      </c>
      <c r="T59" s="8">
        <v>0</v>
      </c>
      <c r="U59" s="8">
        <v>1</v>
      </c>
      <c r="V59" s="8">
        <f>1+3+8</f>
        <v>12</v>
      </c>
      <c r="W59" s="8">
        <v>1</v>
      </c>
      <c r="X59" s="8">
        <f>3+3+9</f>
        <v>15</v>
      </c>
      <c r="Y59" s="1">
        <v>0</v>
      </c>
    </row>
    <row r="60" spans="1:25" ht="12.75" x14ac:dyDescent="0.35">
      <c r="A60" s="8" t="s">
        <v>31</v>
      </c>
      <c r="B60" s="21">
        <v>45864</v>
      </c>
      <c r="C60" s="30">
        <v>0</v>
      </c>
      <c r="D60" s="22">
        <v>0</v>
      </c>
      <c r="E60" s="22">
        <v>0</v>
      </c>
      <c r="F60" s="22">
        <v>0</v>
      </c>
      <c r="G60" s="22">
        <f t="shared" si="0"/>
        <v>0</v>
      </c>
      <c r="H60" s="8">
        <v>24</v>
      </c>
      <c r="I60" s="8"/>
      <c r="J60" s="8"/>
      <c r="K60" s="8"/>
      <c r="L60" s="12"/>
      <c r="M60" s="12"/>
      <c r="N60" s="8">
        <v>0</v>
      </c>
      <c r="O60" s="8">
        <f>3+7</f>
        <v>10</v>
      </c>
      <c r="P60" s="8">
        <v>0</v>
      </c>
      <c r="Q60" s="8">
        <f>3+6</f>
        <v>9</v>
      </c>
      <c r="R60" s="8">
        <v>0</v>
      </c>
      <c r="S60" s="8">
        <f>3+2</f>
        <v>5</v>
      </c>
      <c r="T60" s="8">
        <v>3</v>
      </c>
      <c r="U60" s="8">
        <v>0</v>
      </c>
      <c r="V60" s="8">
        <f>3+3+3</f>
        <v>9</v>
      </c>
      <c r="W60" s="8">
        <v>0</v>
      </c>
      <c r="X60" s="8">
        <f>7+6+2</f>
        <v>15</v>
      </c>
      <c r="Y60" s="1">
        <v>0</v>
      </c>
    </row>
    <row r="61" spans="1:25" ht="12.75" x14ac:dyDescent="0.35">
      <c r="A61" s="8" t="s">
        <v>32</v>
      </c>
      <c r="B61" s="21">
        <v>45865</v>
      </c>
      <c r="C61" s="30">
        <v>0</v>
      </c>
      <c r="D61" s="22">
        <v>0</v>
      </c>
      <c r="E61" s="22">
        <v>0</v>
      </c>
      <c r="F61" s="22">
        <v>0</v>
      </c>
      <c r="G61" s="22">
        <f t="shared" si="0"/>
        <v>0</v>
      </c>
      <c r="H61" s="8">
        <v>23</v>
      </c>
      <c r="I61" s="8"/>
      <c r="J61" s="8"/>
      <c r="K61" s="8"/>
      <c r="L61" s="12"/>
      <c r="M61" s="12"/>
      <c r="N61" s="8">
        <v>0</v>
      </c>
      <c r="O61" s="8">
        <f>1+4+3</f>
        <v>8</v>
      </c>
      <c r="P61" s="8">
        <v>0</v>
      </c>
      <c r="Q61" s="8">
        <f>1+8+6</f>
        <v>15</v>
      </c>
      <c r="R61" s="8">
        <v>0</v>
      </c>
      <c r="S61" s="8">
        <v>0</v>
      </c>
      <c r="T61" s="8">
        <v>0</v>
      </c>
      <c r="U61" s="8">
        <f>1+1</f>
        <v>2</v>
      </c>
      <c r="V61" s="8">
        <f>4+8</f>
        <v>12</v>
      </c>
      <c r="W61" s="8">
        <v>0</v>
      </c>
      <c r="X61" s="8">
        <f>3+6</f>
        <v>9</v>
      </c>
      <c r="Y61" s="1">
        <v>0</v>
      </c>
    </row>
    <row r="62" spans="1:25" ht="12.75" x14ac:dyDescent="0.35">
      <c r="A62" s="8" t="s">
        <v>26</v>
      </c>
      <c r="B62" s="21">
        <v>45866</v>
      </c>
      <c r="C62" s="30">
        <v>0</v>
      </c>
      <c r="D62" s="22">
        <v>0</v>
      </c>
      <c r="E62" s="22">
        <v>0</v>
      </c>
      <c r="F62" s="22">
        <v>0</v>
      </c>
      <c r="G62" s="22">
        <f t="shared" si="0"/>
        <v>0</v>
      </c>
      <c r="H62" s="8">
        <v>29</v>
      </c>
      <c r="I62" s="8"/>
      <c r="J62" s="8"/>
      <c r="K62" s="8" t="s">
        <v>12</v>
      </c>
      <c r="L62" s="12"/>
      <c r="M62" s="12"/>
      <c r="N62" s="8">
        <f>11+1+7</f>
        <v>19</v>
      </c>
      <c r="O62" s="8">
        <f>4+3</f>
        <v>7</v>
      </c>
      <c r="P62" s="8">
        <v>0</v>
      </c>
      <c r="Q62" s="8">
        <f>2+1</f>
        <v>3</v>
      </c>
      <c r="R62" s="8">
        <v>0</v>
      </c>
      <c r="S62" s="8">
        <v>0</v>
      </c>
      <c r="T62" s="8">
        <v>6</v>
      </c>
      <c r="U62" s="8">
        <v>0</v>
      </c>
      <c r="V62" s="8">
        <f>11+4+2</f>
        <v>17</v>
      </c>
      <c r="W62" s="8">
        <v>1</v>
      </c>
      <c r="X62" s="8">
        <f>7+3+1</f>
        <v>11</v>
      </c>
      <c r="Y62" s="1">
        <v>0</v>
      </c>
    </row>
    <row r="63" spans="1:25" ht="12.75" x14ac:dyDescent="0.35">
      <c r="A63" s="8" t="s">
        <v>27</v>
      </c>
      <c r="B63" s="21">
        <v>45867</v>
      </c>
      <c r="C63" s="30">
        <v>0</v>
      </c>
      <c r="D63" s="22">
        <v>0</v>
      </c>
      <c r="E63" s="22">
        <v>0</v>
      </c>
      <c r="F63" s="22">
        <v>0</v>
      </c>
      <c r="G63" s="22">
        <f t="shared" si="0"/>
        <v>0</v>
      </c>
      <c r="H63" s="8">
        <v>0</v>
      </c>
      <c r="I63" s="8"/>
      <c r="J63" s="8"/>
      <c r="K63" s="8"/>
      <c r="L63" s="12"/>
      <c r="M63" s="12"/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1">
        <v>0</v>
      </c>
    </row>
    <row r="64" spans="1:25" ht="12.75" x14ac:dyDescent="0.35">
      <c r="A64" s="8" t="s">
        <v>28</v>
      </c>
      <c r="B64" s="21">
        <v>45868</v>
      </c>
      <c r="C64" s="30">
        <v>0</v>
      </c>
      <c r="D64" s="22">
        <v>0</v>
      </c>
      <c r="E64" s="22">
        <v>0</v>
      </c>
      <c r="F64" s="22">
        <v>0</v>
      </c>
      <c r="G64" s="22">
        <f t="shared" si="0"/>
        <v>0</v>
      </c>
      <c r="H64" s="8">
        <v>0</v>
      </c>
      <c r="I64" s="8"/>
      <c r="J64" s="8"/>
      <c r="K64" s="8"/>
      <c r="L64" s="12"/>
      <c r="M64" s="12"/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1">
        <v>0</v>
      </c>
    </row>
    <row r="65" spans="1:25" ht="12.75" x14ac:dyDescent="0.35">
      <c r="A65" s="8" t="s">
        <v>30</v>
      </c>
      <c r="B65" s="21">
        <v>45870</v>
      </c>
      <c r="C65" s="30">
        <v>0</v>
      </c>
      <c r="D65" s="22">
        <v>0</v>
      </c>
      <c r="E65" s="22">
        <v>0</v>
      </c>
      <c r="F65" s="22">
        <v>0</v>
      </c>
      <c r="G65" s="22">
        <f t="shared" si="0"/>
        <v>0</v>
      </c>
      <c r="H65" s="8">
        <v>15</v>
      </c>
      <c r="I65" s="8" t="s">
        <v>12</v>
      </c>
      <c r="J65" s="8"/>
      <c r="K65" s="8"/>
      <c r="L65" s="12"/>
      <c r="M65" s="12"/>
      <c r="N65" s="8">
        <v>0</v>
      </c>
      <c r="O65" s="8">
        <f t="shared" ref="O65:P65" si="2">1+1</f>
        <v>2</v>
      </c>
      <c r="P65" s="8">
        <f t="shared" si="2"/>
        <v>2</v>
      </c>
      <c r="Q65" s="8">
        <f>2+2+7</f>
        <v>11</v>
      </c>
      <c r="R65" s="8">
        <v>0</v>
      </c>
      <c r="S65" s="8">
        <v>0</v>
      </c>
      <c r="T65" s="8">
        <v>3</v>
      </c>
      <c r="U65" s="8">
        <v>1</v>
      </c>
      <c r="V65" s="8">
        <v>2</v>
      </c>
      <c r="W65" s="8">
        <f>1+2</f>
        <v>3</v>
      </c>
      <c r="X65" s="8">
        <f>1+1+7</f>
        <v>9</v>
      </c>
      <c r="Y65" s="1">
        <v>0</v>
      </c>
    </row>
    <row r="66" spans="1:25" ht="12.75" x14ac:dyDescent="0.35">
      <c r="A66" s="8" t="s">
        <v>31</v>
      </c>
      <c r="B66" s="21">
        <v>45871</v>
      </c>
      <c r="C66" s="30">
        <v>0</v>
      </c>
      <c r="D66" s="22">
        <v>0</v>
      </c>
      <c r="E66" s="22">
        <v>0</v>
      </c>
      <c r="F66" s="22">
        <v>0</v>
      </c>
      <c r="G66" s="22">
        <f t="shared" si="0"/>
        <v>0</v>
      </c>
      <c r="H66" s="8">
        <v>10</v>
      </c>
      <c r="I66" s="8" t="s">
        <v>12</v>
      </c>
      <c r="J66" s="8"/>
      <c r="K66" s="8"/>
      <c r="L66" s="12"/>
      <c r="M66" s="12"/>
      <c r="N66" s="8">
        <v>0</v>
      </c>
      <c r="O66" s="8">
        <v>2</v>
      </c>
      <c r="P66" s="8">
        <v>0</v>
      </c>
      <c r="Q66" s="8">
        <f>3+5</f>
        <v>8</v>
      </c>
      <c r="R66" s="8">
        <v>0</v>
      </c>
      <c r="S66" s="8">
        <v>0</v>
      </c>
      <c r="T66" s="8">
        <v>0</v>
      </c>
      <c r="U66" s="8">
        <v>0</v>
      </c>
      <c r="V66" s="8">
        <v>3</v>
      </c>
      <c r="W66" s="8">
        <v>0</v>
      </c>
      <c r="X66" s="8">
        <f>2+5</f>
        <v>7</v>
      </c>
      <c r="Y66" s="1">
        <v>0</v>
      </c>
    </row>
    <row r="67" spans="1:25" ht="12.75" x14ac:dyDescent="0.35">
      <c r="A67" s="8" t="s">
        <v>32</v>
      </c>
      <c r="B67" s="21">
        <v>45872</v>
      </c>
      <c r="C67" s="30">
        <v>0</v>
      </c>
      <c r="D67" s="22">
        <v>0</v>
      </c>
      <c r="E67" s="22">
        <v>0</v>
      </c>
      <c r="F67" s="22">
        <v>0</v>
      </c>
      <c r="G67" s="22">
        <f t="shared" si="0"/>
        <v>0</v>
      </c>
      <c r="H67" s="8">
        <v>17</v>
      </c>
      <c r="I67" s="8" t="s">
        <v>12</v>
      </c>
      <c r="J67" s="8"/>
      <c r="K67" s="8"/>
      <c r="L67" s="12" t="s">
        <v>12</v>
      </c>
      <c r="M67" s="12"/>
      <c r="N67" s="8">
        <v>0</v>
      </c>
      <c r="O67" s="8">
        <v>1</v>
      </c>
      <c r="P67" s="8">
        <v>2</v>
      </c>
      <c r="Q67" s="8">
        <f>2+12</f>
        <v>14</v>
      </c>
      <c r="R67" s="8">
        <v>0</v>
      </c>
      <c r="S67" s="8">
        <v>0</v>
      </c>
      <c r="T67" s="8">
        <v>8</v>
      </c>
      <c r="U67" s="8">
        <v>2</v>
      </c>
      <c r="V67" s="8">
        <v>0</v>
      </c>
      <c r="W67" s="8">
        <v>0</v>
      </c>
      <c r="X67" s="8">
        <f>1+2+12</f>
        <v>15</v>
      </c>
      <c r="Y67" s="1">
        <v>0</v>
      </c>
    </row>
    <row r="68" spans="1:25" ht="12.75" x14ac:dyDescent="0.35">
      <c r="A68" s="8" t="s">
        <v>26</v>
      </c>
      <c r="B68" s="21">
        <v>45873</v>
      </c>
      <c r="C68" s="22">
        <v>1273.8900000000001</v>
      </c>
      <c r="D68" s="22">
        <v>400</v>
      </c>
      <c r="E68" s="22">
        <f>F68*1.38</f>
        <v>44.16</v>
      </c>
      <c r="F68" s="22">
        <v>32</v>
      </c>
      <c r="G68" s="22">
        <f t="shared" si="0"/>
        <v>1718.0500000000002</v>
      </c>
      <c r="H68" s="8">
        <v>41</v>
      </c>
      <c r="I68" s="8" t="s">
        <v>12</v>
      </c>
      <c r="J68" s="8"/>
      <c r="K68" s="8"/>
      <c r="L68" s="12"/>
      <c r="M68" s="12"/>
      <c r="N68" s="8">
        <v>0</v>
      </c>
      <c r="O68" s="8">
        <f>3+1</f>
        <v>4</v>
      </c>
      <c r="P68" s="8">
        <v>0</v>
      </c>
      <c r="Q68" s="8">
        <f>1+3+10</f>
        <v>14</v>
      </c>
      <c r="R68" s="8">
        <f>1+10+1+11</f>
        <v>23</v>
      </c>
      <c r="S68" s="8">
        <v>0</v>
      </c>
      <c r="T68" s="8">
        <v>0</v>
      </c>
      <c r="U68" s="8">
        <f>1+1</f>
        <v>2</v>
      </c>
      <c r="V68" s="8">
        <f>3+3+10</f>
        <v>16</v>
      </c>
      <c r="W68" s="8">
        <v>1</v>
      </c>
      <c r="X68" s="8">
        <f>1+10+11</f>
        <v>22</v>
      </c>
      <c r="Y68" s="1">
        <v>0</v>
      </c>
    </row>
    <row r="69" spans="1:25" ht="12.75" x14ac:dyDescent="0.35">
      <c r="A69" s="8" t="s">
        <v>27</v>
      </c>
      <c r="B69" s="21">
        <v>45874</v>
      </c>
      <c r="C69" s="30">
        <v>0</v>
      </c>
      <c r="D69" s="22">
        <v>0</v>
      </c>
      <c r="E69" s="22">
        <v>0</v>
      </c>
      <c r="F69" s="22">
        <v>0</v>
      </c>
      <c r="G69" s="22">
        <f t="shared" ref="G69:G100" si="3">SUM(C69:E69)</f>
        <v>0</v>
      </c>
      <c r="H69" s="8">
        <v>0</v>
      </c>
      <c r="I69" s="8"/>
      <c r="J69" s="8"/>
      <c r="K69" s="8"/>
      <c r="L69" s="12" t="s">
        <v>12</v>
      </c>
      <c r="M69" s="12"/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1">
        <v>0</v>
      </c>
    </row>
    <row r="70" spans="1:25" ht="12.75" x14ac:dyDescent="0.35">
      <c r="A70" s="8" t="s">
        <v>28</v>
      </c>
      <c r="B70" s="21">
        <v>45875</v>
      </c>
      <c r="C70" s="30">
        <v>0</v>
      </c>
      <c r="D70" s="22">
        <v>0</v>
      </c>
      <c r="E70" s="22">
        <v>0</v>
      </c>
      <c r="F70" s="22">
        <v>0</v>
      </c>
      <c r="G70" s="22">
        <f t="shared" si="3"/>
        <v>0</v>
      </c>
      <c r="H70" s="8">
        <v>0</v>
      </c>
      <c r="I70" s="8"/>
      <c r="J70" s="8"/>
      <c r="K70" s="8"/>
      <c r="L70" s="12"/>
      <c r="M70" s="12"/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1">
        <v>0</v>
      </c>
    </row>
    <row r="71" spans="1:25" ht="12.75" x14ac:dyDescent="0.35">
      <c r="A71" s="8" t="s">
        <v>29</v>
      </c>
      <c r="B71" s="21">
        <v>45876</v>
      </c>
      <c r="C71" s="30">
        <v>0</v>
      </c>
      <c r="D71" s="22">
        <v>0</v>
      </c>
      <c r="E71" s="22">
        <v>0</v>
      </c>
      <c r="F71" s="22">
        <v>0</v>
      </c>
      <c r="G71" s="22">
        <f t="shared" si="3"/>
        <v>0</v>
      </c>
      <c r="H71" s="8">
        <v>46</v>
      </c>
      <c r="I71" s="8"/>
      <c r="J71" s="8"/>
      <c r="K71" s="8"/>
      <c r="L71" s="12"/>
      <c r="M71" s="12"/>
      <c r="N71" s="8">
        <v>0</v>
      </c>
      <c r="O71" s="8">
        <f>3+11+2+13</f>
        <v>29</v>
      </c>
      <c r="P71" s="8">
        <v>2</v>
      </c>
      <c r="Q71" s="8">
        <f>2+4</f>
        <v>6</v>
      </c>
      <c r="R71" s="8">
        <f>1+6+2</f>
        <v>9</v>
      </c>
      <c r="S71" s="8">
        <v>0</v>
      </c>
      <c r="T71" s="8">
        <v>5</v>
      </c>
      <c r="U71" s="8">
        <f>3+1</f>
        <v>4</v>
      </c>
      <c r="V71" s="8">
        <f>11+2+6</f>
        <v>19</v>
      </c>
      <c r="W71" s="8">
        <v>2</v>
      </c>
      <c r="X71" s="8">
        <f>13+2+4+2</f>
        <v>21</v>
      </c>
      <c r="Y71" s="1">
        <v>4</v>
      </c>
    </row>
    <row r="72" spans="1:25" ht="12.75" x14ac:dyDescent="0.35">
      <c r="A72" s="8" t="s">
        <v>30</v>
      </c>
      <c r="B72" s="21">
        <v>45877</v>
      </c>
      <c r="C72" s="30">
        <v>0</v>
      </c>
      <c r="D72" s="22">
        <v>0</v>
      </c>
      <c r="E72" s="22">
        <v>0</v>
      </c>
      <c r="F72" s="22">
        <v>0</v>
      </c>
      <c r="G72" s="22">
        <f t="shared" si="3"/>
        <v>0</v>
      </c>
      <c r="H72" s="8">
        <v>48</v>
      </c>
      <c r="I72" s="8"/>
      <c r="J72" s="8"/>
      <c r="K72" s="8" t="s">
        <v>12</v>
      </c>
      <c r="L72" s="12"/>
      <c r="M72" s="12"/>
      <c r="N72" s="8">
        <f>19+4+16</f>
        <v>39</v>
      </c>
      <c r="O72" s="8">
        <f>4+1</f>
        <v>5</v>
      </c>
      <c r="P72" s="8">
        <f>1+1</f>
        <v>2</v>
      </c>
      <c r="Q72" s="8">
        <v>2</v>
      </c>
      <c r="R72" s="8">
        <v>0</v>
      </c>
      <c r="S72" s="8">
        <v>0</v>
      </c>
      <c r="T72" s="8">
        <v>0</v>
      </c>
      <c r="U72" s="8">
        <v>0</v>
      </c>
      <c r="V72" s="8">
        <f>19+4+1</f>
        <v>24</v>
      </c>
      <c r="W72" s="8">
        <v>4</v>
      </c>
      <c r="X72" s="8">
        <f>16+1+1+2</f>
        <v>20</v>
      </c>
      <c r="Y72" s="1">
        <v>0</v>
      </c>
    </row>
    <row r="73" spans="1:25" ht="12.75" x14ac:dyDescent="0.35">
      <c r="A73" s="8" t="s">
        <v>31</v>
      </c>
      <c r="B73" s="21">
        <v>45878</v>
      </c>
      <c r="C73" s="30">
        <v>0</v>
      </c>
      <c r="D73" s="22">
        <v>0</v>
      </c>
      <c r="E73" s="22">
        <v>0</v>
      </c>
      <c r="F73" s="22">
        <v>0</v>
      </c>
      <c r="G73" s="22">
        <f t="shared" si="3"/>
        <v>0</v>
      </c>
      <c r="H73" s="8">
        <v>22</v>
      </c>
      <c r="I73" s="8"/>
      <c r="J73" s="8"/>
      <c r="K73" s="8"/>
      <c r="L73" s="12" t="s">
        <v>12</v>
      </c>
      <c r="M73" s="12"/>
      <c r="N73" s="8">
        <v>0</v>
      </c>
      <c r="O73" s="8">
        <f>2+1</f>
        <v>3</v>
      </c>
      <c r="P73" s="8">
        <v>0</v>
      </c>
      <c r="Q73" s="8">
        <f>5+5</f>
        <v>10</v>
      </c>
      <c r="R73" s="8">
        <f>2+7</f>
        <v>9</v>
      </c>
      <c r="S73" s="8">
        <v>0</v>
      </c>
      <c r="T73" s="8">
        <v>5</v>
      </c>
      <c r="U73" s="8">
        <v>0</v>
      </c>
      <c r="V73" s="8">
        <f>2+5+2</f>
        <v>9</v>
      </c>
      <c r="W73" s="8">
        <v>0</v>
      </c>
      <c r="X73" s="8">
        <f>1+5+7</f>
        <v>13</v>
      </c>
      <c r="Y73" s="1">
        <v>0</v>
      </c>
    </row>
    <row r="74" spans="1:25" ht="12.75" x14ac:dyDescent="0.35">
      <c r="A74" s="8" t="s">
        <v>32</v>
      </c>
      <c r="B74" s="21">
        <v>45879</v>
      </c>
      <c r="C74" s="30">
        <v>0</v>
      </c>
      <c r="D74" s="22">
        <v>0</v>
      </c>
      <c r="E74" s="22">
        <v>0</v>
      </c>
      <c r="F74" s="22">
        <v>0</v>
      </c>
      <c r="G74" s="22">
        <f t="shared" si="3"/>
        <v>0</v>
      </c>
      <c r="H74" s="8">
        <v>19</v>
      </c>
      <c r="I74" s="8"/>
      <c r="J74" s="8"/>
      <c r="K74" s="8"/>
      <c r="L74" s="12" t="s">
        <v>12</v>
      </c>
      <c r="M74" s="12"/>
      <c r="N74" s="8">
        <v>0</v>
      </c>
      <c r="O74" s="8">
        <f>1+1+3</f>
        <v>5</v>
      </c>
      <c r="P74" s="8">
        <v>3</v>
      </c>
      <c r="Q74" s="8">
        <f>1+2+8</f>
        <v>11</v>
      </c>
      <c r="R74" s="8">
        <v>0</v>
      </c>
      <c r="S74" s="8">
        <v>0</v>
      </c>
      <c r="T74" s="8">
        <v>8</v>
      </c>
      <c r="U74" s="8">
        <v>1</v>
      </c>
      <c r="V74" s="8">
        <f>1+1</f>
        <v>2</v>
      </c>
      <c r="W74" s="8">
        <v>2</v>
      </c>
      <c r="X74" s="8">
        <f>3+3+8</f>
        <v>14</v>
      </c>
      <c r="Y74" s="1">
        <v>0</v>
      </c>
    </row>
    <row r="75" spans="1:25" ht="12.75" x14ac:dyDescent="0.35">
      <c r="A75" s="8" t="s">
        <v>26</v>
      </c>
      <c r="B75" s="21">
        <v>45880</v>
      </c>
      <c r="C75" s="30">
        <v>0</v>
      </c>
      <c r="D75" s="22">
        <v>0</v>
      </c>
      <c r="E75" s="22">
        <v>0</v>
      </c>
      <c r="F75" s="22">
        <v>0</v>
      </c>
      <c r="G75" s="22">
        <f t="shared" si="3"/>
        <v>0</v>
      </c>
      <c r="H75" s="8">
        <v>28</v>
      </c>
      <c r="I75" s="8"/>
      <c r="J75" s="8"/>
      <c r="K75" s="8" t="s">
        <v>12</v>
      </c>
      <c r="L75" s="12"/>
      <c r="M75" s="12"/>
      <c r="N75" s="8">
        <f>1+5+1+14</f>
        <v>21</v>
      </c>
      <c r="O75" s="8">
        <v>3</v>
      </c>
      <c r="P75" s="8">
        <v>0</v>
      </c>
      <c r="Q75" s="8">
        <v>0</v>
      </c>
      <c r="R75" s="8">
        <f>1+1+2</f>
        <v>4</v>
      </c>
      <c r="S75" s="8">
        <v>0</v>
      </c>
      <c r="T75" s="8">
        <v>11</v>
      </c>
      <c r="U75" s="8">
        <v>2</v>
      </c>
      <c r="V75" s="8">
        <v>7</v>
      </c>
      <c r="W75" s="8">
        <v>2</v>
      </c>
      <c r="X75" s="8">
        <f>14+1+2</f>
        <v>17</v>
      </c>
      <c r="Y75" s="1">
        <v>0</v>
      </c>
    </row>
    <row r="76" spans="1:25" ht="12.75" x14ac:dyDescent="0.35">
      <c r="A76" s="8" t="s">
        <v>27</v>
      </c>
      <c r="B76" s="21">
        <v>45881</v>
      </c>
      <c r="C76" s="30">
        <v>0</v>
      </c>
      <c r="D76" s="22">
        <v>425</v>
      </c>
      <c r="E76" s="22">
        <f>F76*1.38</f>
        <v>113.16</v>
      </c>
      <c r="F76" s="22">
        <v>82</v>
      </c>
      <c r="G76" s="22">
        <f t="shared" si="3"/>
        <v>538.16</v>
      </c>
      <c r="H76" s="8">
        <v>0</v>
      </c>
      <c r="I76" s="8"/>
      <c r="J76" s="8"/>
      <c r="K76" s="8"/>
      <c r="L76" s="12" t="s">
        <v>12</v>
      </c>
      <c r="M76" s="12"/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1">
        <v>0</v>
      </c>
    </row>
    <row r="77" spans="1:25" ht="12.75" x14ac:dyDescent="0.35">
      <c r="A77" s="8" t="s">
        <v>28</v>
      </c>
      <c r="B77" s="21">
        <v>45882</v>
      </c>
      <c r="C77" s="30">
        <v>0</v>
      </c>
      <c r="D77" s="22">
        <v>0</v>
      </c>
      <c r="E77" s="22">
        <v>0</v>
      </c>
      <c r="F77" s="22">
        <v>0</v>
      </c>
      <c r="G77" s="22">
        <f t="shared" si="3"/>
        <v>0</v>
      </c>
      <c r="H77" s="8">
        <v>0</v>
      </c>
      <c r="I77" s="8"/>
      <c r="J77" s="8"/>
      <c r="K77" s="8"/>
      <c r="L77" s="12"/>
      <c r="M77" s="12"/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1">
        <v>0</v>
      </c>
    </row>
    <row r="78" spans="1:25" ht="12.75" x14ac:dyDescent="0.35">
      <c r="A78" s="8" t="s">
        <v>30</v>
      </c>
      <c r="B78" s="21">
        <v>45884</v>
      </c>
      <c r="C78" s="30">
        <v>0</v>
      </c>
      <c r="D78" s="22">
        <v>0</v>
      </c>
      <c r="E78" s="22">
        <v>0</v>
      </c>
      <c r="F78" s="22">
        <v>0</v>
      </c>
      <c r="G78" s="22">
        <f t="shared" si="3"/>
        <v>0</v>
      </c>
      <c r="H78" s="8">
        <v>4</v>
      </c>
      <c r="I78" s="8"/>
      <c r="J78" s="8"/>
      <c r="K78" s="8"/>
      <c r="L78" s="12" t="s">
        <v>12</v>
      </c>
      <c r="M78" s="12" t="s">
        <v>12</v>
      </c>
      <c r="N78" s="8">
        <v>0</v>
      </c>
      <c r="O78" s="8">
        <v>0</v>
      </c>
      <c r="P78" s="8">
        <v>0</v>
      </c>
      <c r="Q78" s="8">
        <f>2+2</f>
        <v>4</v>
      </c>
      <c r="R78" s="8">
        <v>0</v>
      </c>
      <c r="S78" s="8">
        <v>0</v>
      </c>
      <c r="T78" s="8">
        <v>0</v>
      </c>
      <c r="U78" s="8">
        <v>2</v>
      </c>
      <c r="V78" s="8">
        <v>0</v>
      </c>
      <c r="W78" s="8">
        <v>0</v>
      </c>
      <c r="X78" s="8">
        <v>2</v>
      </c>
      <c r="Y78" s="1">
        <v>0</v>
      </c>
    </row>
    <row r="79" spans="1:25" ht="12.75" x14ac:dyDescent="0.35">
      <c r="A79" s="8" t="s">
        <v>31</v>
      </c>
      <c r="B79" s="21">
        <v>45885</v>
      </c>
      <c r="C79" s="22">
        <v>674</v>
      </c>
      <c r="D79" s="31">
        <v>0</v>
      </c>
      <c r="E79" s="31">
        <v>0</v>
      </c>
      <c r="F79" s="31">
        <v>0</v>
      </c>
      <c r="G79" s="22">
        <f t="shared" si="3"/>
        <v>674</v>
      </c>
      <c r="H79" s="8">
        <v>7</v>
      </c>
      <c r="I79" s="8"/>
      <c r="J79" s="8"/>
      <c r="K79" s="8"/>
      <c r="L79" s="12" t="s">
        <v>12</v>
      </c>
      <c r="M79" s="12"/>
      <c r="N79" s="8">
        <v>0</v>
      </c>
      <c r="O79" s="8">
        <v>0</v>
      </c>
      <c r="P79" s="8">
        <v>0</v>
      </c>
      <c r="Q79" s="8">
        <f>2+5</f>
        <v>7</v>
      </c>
      <c r="R79" s="8">
        <v>0</v>
      </c>
      <c r="S79" s="8">
        <v>0</v>
      </c>
      <c r="T79" s="8">
        <v>0</v>
      </c>
      <c r="U79" s="8">
        <v>0</v>
      </c>
      <c r="V79" s="8">
        <v>2</v>
      </c>
      <c r="W79" s="8">
        <v>0</v>
      </c>
      <c r="X79" s="8">
        <v>5</v>
      </c>
      <c r="Y79" s="1">
        <v>0</v>
      </c>
    </row>
    <row r="80" spans="1:25" ht="12.75" x14ac:dyDescent="0.35">
      <c r="A80" s="8" t="s">
        <v>32</v>
      </c>
      <c r="B80" s="21">
        <v>45886</v>
      </c>
      <c r="C80" s="30">
        <v>0</v>
      </c>
      <c r="D80" s="22">
        <v>0</v>
      </c>
      <c r="E80" s="22">
        <v>0</v>
      </c>
      <c r="F80" s="22">
        <v>0</v>
      </c>
      <c r="G80" s="22">
        <f t="shared" si="3"/>
        <v>0</v>
      </c>
      <c r="H80" s="8">
        <v>17</v>
      </c>
      <c r="I80" s="8"/>
      <c r="J80" s="8"/>
      <c r="K80" s="8"/>
      <c r="L80" s="12" t="s">
        <v>12</v>
      </c>
      <c r="M80" s="12"/>
      <c r="N80" s="8">
        <v>0</v>
      </c>
      <c r="O80" s="8">
        <f>3+1</f>
        <v>4</v>
      </c>
      <c r="P80" s="8">
        <v>2</v>
      </c>
      <c r="Q80" s="8">
        <f>5+6</f>
        <v>11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f>1+5</f>
        <v>6</v>
      </c>
      <c r="X80" s="8">
        <f>3+2+6</f>
        <v>11</v>
      </c>
      <c r="Y80" s="1">
        <v>0</v>
      </c>
    </row>
    <row r="81" spans="1:25" ht="12.75" x14ac:dyDescent="0.35">
      <c r="A81" s="8" t="s">
        <v>26</v>
      </c>
      <c r="B81" s="21">
        <v>45887</v>
      </c>
      <c r="C81" s="30">
        <v>0</v>
      </c>
      <c r="D81" s="22">
        <v>0</v>
      </c>
      <c r="E81" s="22">
        <v>0</v>
      </c>
      <c r="F81" s="22">
        <v>0</v>
      </c>
      <c r="G81" s="22">
        <f t="shared" si="3"/>
        <v>0</v>
      </c>
      <c r="H81" s="8">
        <v>11</v>
      </c>
      <c r="I81" s="8"/>
      <c r="J81" s="8"/>
      <c r="K81" s="8"/>
      <c r="L81" s="12" t="s">
        <v>12</v>
      </c>
      <c r="M81" s="12"/>
      <c r="N81" s="8">
        <v>0</v>
      </c>
      <c r="O81" s="8">
        <v>0</v>
      </c>
      <c r="P81" s="8">
        <f>1+2</f>
        <v>3</v>
      </c>
      <c r="Q81" s="8">
        <v>0</v>
      </c>
      <c r="R81" s="8">
        <f>1+3+4</f>
        <v>8</v>
      </c>
      <c r="S81" s="8">
        <v>0</v>
      </c>
      <c r="T81" s="8">
        <v>6</v>
      </c>
      <c r="U81" s="8">
        <v>1</v>
      </c>
      <c r="V81" s="8">
        <v>1</v>
      </c>
      <c r="W81" s="8">
        <v>3</v>
      </c>
      <c r="X81" s="8">
        <f>2+4</f>
        <v>6</v>
      </c>
      <c r="Y81" s="1">
        <v>0</v>
      </c>
    </row>
    <row r="82" spans="1:25" ht="12.75" x14ac:dyDescent="0.35">
      <c r="A82" s="8" t="s">
        <v>27</v>
      </c>
      <c r="B82" s="21">
        <v>45888</v>
      </c>
      <c r="C82" s="30">
        <v>0</v>
      </c>
      <c r="D82" s="22">
        <v>0</v>
      </c>
      <c r="E82" s="22">
        <v>0</v>
      </c>
      <c r="F82" s="22">
        <v>0</v>
      </c>
      <c r="G82" s="22">
        <f t="shared" si="3"/>
        <v>0</v>
      </c>
      <c r="H82" s="8">
        <v>30</v>
      </c>
      <c r="I82" s="8"/>
      <c r="J82" s="8"/>
      <c r="K82" s="8" t="s">
        <v>12</v>
      </c>
      <c r="L82" s="12" t="s">
        <v>12</v>
      </c>
      <c r="M82" s="12"/>
      <c r="N82" s="8">
        <f>7+2+13</f>
        <v>22</v>
      </c>
      <c r="O82" s="8">
        <f>4+3</f>
        <v>7</v>
      </c>
      <c r="P82" s="8">
        <v>0</v>
      </c>
      <c r="Q82" s="8">
        <v>1</v>
      </c>
      <c r="R82" s="8">
        <v>0</v>
      </c>
      <c r="S82" s="8">
        <v>0</v>
      </c>
      <c r="T82" s="8">
        <v>0</v>
      </c>
      <c r="U82" s="8">
        <v>0</v>
      </c>
      <c r="V82" s="8">
        <f>7+4</f>
        <v>11</v>
      </c>
      <c r="W82" s="8">
        <f>2</f>
        <v>2</v>
      </c>
      <c r="X82" s="8">
        <f>13+3+1</f>
        <v>17</v>
      </c>
      <c r="Y82" s="1">
        <v>0</v>
      </c>
    </row>
    <row r="83" spans="1:25" ht="12.75" x14ac:dyDescent="0.35">
      <c r="A83" s="8" t="s">
        <v>30</v>
      </c>
      <c r="B83" s="21">
        <v>45891</v>
      </c>
      <c r="C83" s="30">
        <v>0</v>
      </c>
      <c r="D83" s="22">
        <v>0</v>
      </c>
      <c r="E83" s="22">
        <v>0</v>
      </c>
      <c r="F83" s="22">
        <v>0</v>
      </c>
      <c r="G83" s="22">
        <f t="shared" si="3"/>
        <v>0</v>
      </c>
      <c r="H83" s="8">
        <v>41</v>
      </c>
      <c r="I83" s="8"/>
      <c r="J83" s="8"/>
      <c r="K83" s="8"/>
      <c r="L83" s="12"/>
      <c r="M83" s="12"/>
      <c r="N83" s="8">
        <v>0</v>
      </c>
      <c r="O83" s="8">
        <f>5+1+2</f>
        <v>8</v>
      </c>
      <c r="P83" s="8">
        <f>1+1</f>
        <v>2</v>
      </c>
      <c r="Q83" s="8">
        <f>2+3+8</f>
        <v>13</v>
      </c>
      <c r="R83" s="8">
        <f>1+10+7</f>
        <v>18</v>
      </c>
      <c r="S83" s="8">
        <v>0</v>
      </c>
      <c r="T83" s="8">
        <v>4</v>
      </c>
      <c r="U83" s="8">
        <v>6</v>
      </c>
      <c r="V83" s="8">
        <f>1+1+2+10</f>
        <v>14</v>
      </c>
      <c r="W83" s="8">
        <v>3</v>
      </c>
      <c r="X83" s="8">
        <f>2+1+8+7</f>
        <v>18</v>
      </c>
      <c r="Y83" s="1">
        <v>0</v>
      </c>
    </row>
    <row r="84" spans="1:25" ht="12.75" x14ac:dyDescent="0.35">
      <c r="A84" s="8" t="s">
        <v>31</v>
      </c>
      <c r="B84" s="21">
        <v>45892</v>
      </c>
      <c r="C84" s="30">
        <v>0</v>
      </c>
      <c r="D84" s="22">
        <v>0</v>
      </c>
      <c r="E84" s="22">
        <v>0</v>
      </c>
      <c r="F84" s="22">
        <v>0</v>
      </c>
      <c r="G84" s="22">
        <f t="shared" si="3"/>
        <v>0</v>
      </c>
      <c r="H84" s="8">
        <v>15</v>
      </c>
      <c r="I84" s="8"/>
      <c r="J84" s="8"/>
      <c r="K84" s="8"/>
      <c r="L84" s="12"/>
      <c r="M84" s="12"/>
      <c r="N84" s="8">
        <v>0</v>
      </c>
      <c r="O84" s="8">
        <f t="shared" ref="O84:O85" si="4">2+2</f>
        <v>4</v>
      </c>
      <c r="P84" s="8">
        <f>1+4</f>
        <v>5</v>
      </c>
      <c r="Q84" s="8">
        <f>3+2</f>
        <v>5</v>
      </c>
      <c r="R84" s="8">
        <v>0</v>
      </c>
      <c r="S84" s="8">
        <v>1</v>
      </c>
      <c r="T84" s="8">
        <v>0</v>
      </c>
      <c r="U84" s="8">
        <v>0</v>
      </c>
      <c r="V84" s="8">
        <f>2+1+3</f>
        <v>6</v>
      </c>
      <c r="W84" s="8">
        <v>0</v>
      </c>
      <c r="X84" s="8">
        <f>2+4+2+1</f>
        <v>9</v>
      </c>
      <c r="Y84" s="1">
        <v>0</v>
      </c>
    </row>
    <row r="85" spans="1:25" ht="12.75" x14ac:dyDescent="0.35">
      <c r="A85" s="8" t="s">
        <v>32</v>
      </c>
      <c r="B85" s="21">
        <v>45893</v>
      </c>
      <c r="C85" s="30">
        <v>0</v>
      </c>
      <c r="D85" s="22">
        <v>0</v>
      </c>
      <c r="E85" s="22">
        <v>0</v>
      </c>
      <c r="F85" s="22">
        <v>0</v>
      </c>
      <c r="G85" s="22">
        <f t="shared" si="3"/>
        <v>0</v>
      </c>
      <c r="H85" s="8">
        <v>21</v>
      </c>
      <c r="I85" s="8"/>
      <c r="J85" s="8"/>
      <c r="K85" s="8"/>
      <c r="L85" s="12"/>
      <c r="M85" s="12"/>
      <c r="N85" s="8">
        <v>0</v>
      </c>
      <c r="O85" s="8">
        <f t="shared" si="4"/>
        <v>4</v>
      </c>
      <c r="P85" s="8">
        <f>3+3</f>
        <v>6</v>
      </c>
      <c r="Q85" s="8">
        <v>3</v>
      </c>
      <c r="R85" s="8">
        <f>4+4</f>
        <v>8</v>
      </c>
      <c r="S85" s="8">
        <v>0</v>
      </c>
      <c r="T85" s="8">
        <v>7</v>
      </c>
      <c r="U85" s="8">
        <v>0</v>
      </c>
      <c r="V85" s="8">
        <f>2+3+4</f>
        <v>9</v>
      </c>
      <c r="W85" s="8">
        <v>0</v>
      </c>
      <c r="X85" s="8">
        <f>2+3+3+4</f>
        <v>12</v>
      </c>
      <c r="Y85" s="1">
        <v>0</v>
      </c>
    </row>
    <row r="86" spans="1:25" ht="12.75" x14ac:dyDescent="0.35">
      <c r="A86" s="8" t="s">
        <v>26</v>
      </c>
      <c r="B86" s="21">
        <v>45894</v>
      </c>
      <c r="C86" s="30">
        <v>0</v>
      </c>
      <c r="D86" s="22">
        <v>0</v>
      </c>
      <c r="E86" s="22">
        <v>0</v>
      </c>
      <c r="F86" s="22">
        <v>0</v>
      </c>
      <c r="G86" s="22">
        <f t="shared" si="3"/>
        <v>0</v>
      </c>
      <c r="H86" s="8">
        <v>12</v>
      </c>
      <c r="I86" s="8"/>
      <c r="J86" s="8"/>
      <c r="K86" s="8" t="s">
        <v>12</v>
      </c>
      <c r="L86" s="12"/>
      <c r="M86" s="12"/>
      <c r="N86" s="8">
        <f>3+1+6</f>
        <v>10</v>
      </c>
      <c r="O86" s="8">
        <v>2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3</v>
      </c>
      <c r="V86" s="8">
        <v>1</v>
      </c>
      <c r="W86" s="8">
        <v>0</v>
      </c>
      <c r="X86" s="8">
        <f>6+2</f>
        <v>8</v>
      </c>
      <c r="Y86" s="1">
        <v>0</v>
      </c>
    </row>
    <row r="87" spans="1:25" ht="12.75" x14ac:dyDescent="0.35">
      <c r="A87" s="8" t="s">
        <v>30</v>
      </c>
      <c r="B87" s="21">
        <v>45898</v>
      </c>
      <c r="C87" s="30">
        <v>0</v>
      </c>
      <c r="D87" s="22">
        <v>0</v>
      </c>
      <c r="E87" s="22">
        <v>0</v>
      </c>
      <c r="F87" s="22">
        <v>0</v>
      </c>
      <c r="G87" s="22">
        <f t="shared" si="3"/>
        <v>0</v>
      </c>
      <c r="H87" s="8">
        <v>9</v>
      </c>
      <c r="I87" s="8" t="s">
        <v>12</v>
      </c>
      <c r="J87" s="8"/>
      <c r="K87" s="8"/>
      <c r="L87" s="12"/>
      <c r="M87" s="12"/>
      <c r="N87" s="8">
        <v>0</v>
      </c>
      <c r="O87" s="8">
        <v>2</v>
      </c>
      <c r="P87" s="8">
        <v>0</v>
      </c>
      <c r="Q87" s="8">
        <f>1+6</f>
        <v>7</v>
      </c>
      <c r="R87" s="8">
        <v>0</v>
      </c>
      <c r="S87" s="8">
        <v>0</v>
      </c>
      <c r="T87" s="8">
        <v>11</v>
      </c>
      <c r="U87" s="8">
        <v>1</v>
      </c>
      <c r="V87" s="8">
        <v>1</v>
      </c>
      <c r="W87" s="8">
        <v>0</v>
      </c>
      <c r="X87" s="8">
        <f>1+6</f>
        <v>7</v>
      </c>
      <c r="Y87" s="1">
        <v>0</v>
      </c>
    </row>
    <row r="88" spans="1:25" ht="12.75" x14ac:dyDescent="0.35">
      <c r="A88" s="8" t="s">
        <v>31</v>
      </c>
      <c r="B88" s="21">
        <v>45899</v>
      </c>
      <c r="C88" s="30">
        <v>0</v>
      </c>
      <c r="D88" s="22">
        <v>0</v>
      </c>
      <c r="E88" s="22">
        <v>0</v>
      </c>
      <c r="F88" s="22">
        <v>0</v>
      </c>
      <c r="G88" s="22">
        <f t="shared" si="3"/>
        <v>0</v>
      </c>
      <c r="H88" s="8">
        <v>10</v>
      </c>
      <c r="I88" s="8" t="s">
        <v>12</v>
      </c>
      <c r="J88" s="8"/>
      <c r="K88" s="8"/>
      <c r="L88" s="12"/>
      <c r="M88" s="12"/>
      <c r="N88" s="8">
        <v>0</v>
      </c>
      <c r="O88" s="8">
        <v>2</v>
      </c>
      <c r="P88" s="8">
        <f>1+3+4</f>
        <v>8</v>
      </c>
      <c r="Q88" s="8">
        <v>0</v>
      </c>
      <c r="R88" s="8">
        <v>0</v>
      </c>
      <c r="S88" s="8">
        <v>0</v>
      </c>
      <c r="T88" s="8">
        <v>9</v>
      </c>
      <c r="U88" s="8">
        <v>1</v>
      </c>
      <c r="V88" s="8">
        <f>1+3</f>
        <v>4</v>
      </c>
      <c r="W88" s="8">
        <v>0</v>
      </c>
      <c r="X88" s="8">
        <f>1+4</f>
        <v>5</v>
      </c>
      <c r="Y88" s="1">
        <v>0</v>
      </c>
    </row>
    <row r="89" spans="1:25" ht="12.75" x14ac:dyDescent="0.35">
      <c r="A89" s="8" t="s">
        <v>32</v>
      </c>
      <c r="B89" s="21">
        <v>45900</v>
      </c>
      <c r="C89" s="30">
        <v>0</v>
      </c>
      <c r="D89" s="22">
        <v>0</v>
      </c>
      <c r="E89" s="22">
        <v>0</v>
      </c>
      <c r="F89" s="22">
        <v>0</v>
      </c>
      <c r="G89" s="22">
        <f t="shared" si="3"/>
        <v>0</v>
      </c>
      <c r="H89" s="8">
        <v>36</v>
      </c>
      <c r="I89" s="8" t="s">
        <v>12</v>
      </c>
      <c r="J89" s="8"/>
      <c r="K89" s="8"/>
      <c r="L89" s="12"/>
      <c r="M89" s="12"/>
      <c r="N89" s="8">
        <v>0</v>
      </c>
      <c r="O89" s="8">
        <f>1+1</f>
        <v>2</v>
      </c>
      <c r="P89" s="8">
        <f>1+16+6</f>
        <v>23</v>
      </c>
      <c r="Q89" s="8">
        <f>3+8</f>
        <v>11</v>
      </c>
      <c r="R89" s="8">
        <v>0</v>
      </c>
      <c r="S89" s="8">
        <v>0</v>
      </c>
      <c r="T89" s="8">
        <v>0</v>
      </c>
      <c r="U89" s="8">
        <v>2</v>
      </c>
      <c r="V89" s="8">
        <f>16+3</f>
        <v>19</v>
      </c>
      <c r="W89" s="8">
        <v>0</v>
      </c>
      <c r="X89" s="8">
        <f>1+6+8</f>
        <v>15</v>
      </c>
      <c r="Y89" s="1">
        <v>0</v>
      </c>
    </row>
    <row r="90" spans="1:25" ht="12.75" x14ac:dyDescent="0.35">
      <c r="A90" s="8" t="s">
        <v>26</v>
      </c>
      <c r="B90" s="21">
        <v>45901</v>
      </c>
      <c r="C90" s="22">
        <v>900.2</v>
      </c>
      <c r="D90" s="22">
        <v>450</v>
      </c>
      <c r="E90" s="22">
        <f>F90*1.38</f>
        <v>128.34</v>
      </c>
      <c r="F90" s="22">
        <v>93</v>
      </c>
      <c r="G90" s="22">
        <f t="shared" si="3"/>
        <v>1478.54</v>
      </c>
      <c r="H90" s="8">
        <v>135</v>
      </c>
      <c r="I90" s="8" t="s">
        <v>12</v>
      </c>
      <c r="J90" s="8"/>
      <c r="K90" s="8"/>
      <c r="L90" s="12"/>
      <c r="M90" s="12"/>
      <c r="N90" s="8">
        <v>0</v>
      </c>
      <c r="O90" s="8">
        <f>18+52+3+52</f>
        <v>125</v>
      </c>
      <c r="P90" s="8">
        <v>0</v>
      </c>
      <c r="Q90" s="8">
        <f>1+9</f>
        <v>10</v>
      </c>
      <c r="R90" s="8">
        <v>0</v>
      </c>
      <c r="S90" s="8">
        <v>0</v>
      </c>
      <c r="T90" s="8">
        <v>42</v>
      </c>
      <c r="U90" s="8">
        <v>18</v>
      </c>
      <c r="V90" s="8">
        <f>52+1</f>
        <v>53</v>
      </c>
      <c r="W90" s="8">
        <v>3</v>
      </c>
      <c r="X90" s="8">
        <f>52+9</f>
        <v>61</v>
      </c>
      <c r="Y90" s="1">
        <v>0</v>
      </c>
    </row>
    <row r="91" spans="1:25" ht="12.75" x14ac:dyDescent="0.35">
      <c r="A91" s="8" t="s">
        <v>31</v>
      </c>
      <c r="B91" s="21">
        <v>45906</v>
      </c>
      <c r="C91" s="30">
        <v>0</v>
      </c>
      <c r="D91" s="22">
        <v>0</v>
      </c>
      <c r="E91" s="22">
        <v>0</v>
      </c>
      <c r="F91" s="22">
        <v>0</v>
      </c>
      <c r="G91" s="22">
        <f t="shared" si="3"/>
        <v>0</v>
      </c>
      <c r="H91" s="8">
        <v>11</v>
      </c>
      <c r="I91" s="8"/>
      <c r="J91" s="8"/>
      <c r="K91" s="8"/>
      <c r="L91" s="12"/>
      <c r="M91" s="12"/>
      <c r="N91" s="8">
        <v>0</v>
      </c>
      <c r="O91" s="8">
        <f t="shared" ref="O91:P91" si="5">1+1+2</f>
        <v>4</v>
      </c>
      <c r="P91" s="8">
        <f t="shared" si="5"/>
        <v>4</v>
      </c>
      <c r="Q91" s="8">
        <f>1+2</f>
        <v>3</v>
      </c>
      <c r="R91" s="8">
        <v>0</v>
      </c>
      <c r="S91" s="8">
        <v>0</v>
      </c>
      <c r="T91" s="8">
        <v>3</v>
      </c>
      <c r="U91" s="8">
        <v>3</v>
      </c>
      <c r="V91" s="8">
        <v>2</v>
      </c>
      <c r="W91" s="8">
        <v>0</v>
      </c>
      <c r="X91" s="8">
        <v>6</v>
      </c>
      <c r="Y91" s="1">
        <v>0</v>
      </c>
    </row>
    <row r="92" spans="1:25" ht="12.75" x14ac:dyDescent="0.35">
      <c r="A92" s="8" t="s">
        <v>32</v>
      </c>
      <c r="B92" s="21">
        <v>45907</v>
      </c>
      <c r="C92" s="30">
        <v>0</v>
      </c>
      <c r="D92" s="22">
        <v>0</v>
      </c>
      <c r="E92" s="22">
        <v>0</v>
      </c>
      <c r="F92" s="22">
        <v>0</v>
      </c>
      <c r="G92" s="22">
        <f t="shared" si="3"/>
        <v>0</v>
      </c>
      <c r="H92" s="8">
        <v>7</v>
      </c>
      <c r="I92" s="8"/>
      <c r="J92" s="8"/>
      <c r="K92" s="8"/>
      <c r="L92" s="12"/>
      <c r="M92" s="12"/>
      <c r="N92" s="8">
        <v>0</v>
      </c>
      <c r="O92" s="8">
        <v>0</v>
      </c>
      <c r="P92" s="8">
        <v>3</v>
      </c>
      <c r="Q92" s="8">
        <v>4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f>3+4</f>
        <v>7</v>
      </c>
      <c r="Y92" s="1">
        <v>0</v>
      </c>
    </row>
    <row r="93" spans="1:25" ht="12.75" x14ac:dyDescent="0.35">
      <c r="A93" s="8" t="s">
        <v>26</v>
      </c>
      <c r="B93" s="21">
        <v>45908</v>
      </c>
      <c r="C93" s="30">
        <v>0</v>
      </c>
      <c r="D93" s="22">
        <v>0</v>
      </c>
      <c r="E93" s="22">
        <v>0</v>
      </c>
      <c r="F93" s="22">
        <v>0</v>
      </c>
      <c r="G93" s="22">
        <f t="shared" si="3"/>
        <v>0</v>
      </c>
      <c r="H93" s="8">
        <v>18</v>
      </c>
      <c r="I93" s="8"/>
      <c r="J93" s="8"/>
      <c r="K93" s="8" t="s">
        <v>12</v>
      </c>
      <c r="L93" s="12"/>
      <c r="M93" s="12"/>
      <c r="N93" s="8">
        <f>1+4+11</f>
        <v>16</v>
      </c>
      <c r="O93" s="8">
        <v>2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1</v>
      </c>
      <c r="V93" s="8">
        <f>4+1</f>
        <v>5</v>
      </c>
      <c r="W93" s="8">
        <v>0</v>
      </c>
      <c r="X93" s="8">
        <f>11+1</f>
        <v>12</v>
      </c>
      <c r="Y93" s="1">
        <v>0</v>
      </c>
    </row>
    <row r="94" spans="1:25" ht="12.75" x14ac:dyDescent="0.35">
      <c r="A94" s="8" t="s">
        <v>31</v>
      </c>
      <c r="B94" s="21">
        <v>45913</v>
      </c>
      <c r="C94" s="30">
        <v>0</v>
      </c>
      <c r="D94" s="22">
        <v>0</v>
      </c>
      <c r="E94" s="22">
        <v>0</v>
      </c>
      <c r="F94" s="22">
        <v>0</v>
      </c>
      <c r="G94" s="22">
        <f t="shared" si="3"/>
        <v>0</v>
      </c>
      <c r="H94" s="8">
        <v>7</v>
      </c>
      <c r="I94" s="8"/>
      <c r="J94" s="8"/>
      <c r="K94" s="8"/>
      <c r="L94" s="12"/>
      <c r="M94" s="12"/>
      <c r="N94" s="8">
        <v>0</v>
      </c>
      <c r="O94" s="8">
        <v>0</v>
      </c>
      <c r="P94" s="8">
        <v>2</v>
      </c>
      <c r="Q94" s="8">
        <v>1</v>
      </c>
      <c r="R94" s="8">
        <v>0</v>
      </c>
      <c r="S94" s="8">
        <v>4</v>
      </c>
      <c r="T94" s="8">
        <v>0</v>
      </c>
      <c r="U94" s="8">
        <v>1</v>
      </c>
      <c r="V94" s="8">
        <v>1</v>
      </c>
      <c r="W94" s="8">
        <v>0</v>
      </c>
      <c r="X94" s="8">
        <f>2+3</f>
        <v>5</v>
      </c>
      <c r="Y94" s="1">
        <v>0</v>
      </c>
    </row>
    <row r="95" spans="1:25" ht="12.75" x14ac:dyDescent="0.35">
      <c r="A95" s="8" t="s">
        <v>32</v>
      </c>
      <c r="B95" s="21">
        <v>45914</v>
      </c>
      <c r="C95" s="30">
        <v>0</v>
      </c>
      <c r="D95" s="22">
        <v>0</v>
      </c>
      <c r="E95" s="22">
        <v>0</v>
      </c>
      <c r="F95" s="22">
        <v>0</v>
      </c>
      <c r="G95" s="22">
        <f t="shared" si="3"/>
        <v>0</v>
      </c>
      <c r="H95" s="8">
        <v>6</v>
      </c>
      <c r="I95" s="8"/>
      <c r="J95" s="8"/>
      <c r="K95" s="8"/>
      <c r="L95" s="12"/>
      <c r="M95" s="12"/>
      <c r="N95" s="8">
        <v>0</v>
      </c>
      <c r="O95" s="8">
        <v>0</v>
      </c>
      <c r="P95" s="8">
        <v>0</v>
      </c>
      <c r="Q95" s="8">
        <v>3</v>
      </c>
      <c r="R95" s="8">
        <v>0</v>
      </c>
      <c r="S95" s="8">
        <v>3</v>
      </c>
      <c r="T95" s="8">
        <v>0</v>
      </c>
      <c r="U95" s="8">
        <v>1</v>
      </c>
      <c r="V95" s="8">
        <v>1</v>
      </c>
      <c r="W95" s="8">
        <v>0</v>
      </c>
      <c r="X95" s="8">
        <v>4</v>
      </c>
      <c r="Y95" s="1">
        <v>0</v>
      </c>
    </row>
    <row r="96" spans="1:25" ht="12.75" x14ac:dyDescent="0.35">
      <c r="A96" s="8" t="s">
        <v>29</v>
      </c>
      <c r="B96" s="21">
        <v>45918</v>
      </c>
      <c r="C96" s="30">
        <v>0</v>
      </c>
      <c r="D96" s="22">
        <v>0</v>
      </c>
      <c r="E96" s="22">
        <v>0</v>
      </c>
      <c r="F96" s="22">
        <v>0</v>
      </c>
      <c r="G96" s="22">
        <f t="shared" si="3"/>
        <v>0</v>
      </c>
      <c r="H96" s="8">
        <v>9</v>
      </c>
      <c r="I96" s="8"/>
      <c r="J96" s="8"/>
      <c r="K96" s="8" t="s">
        <v>12</v>
      </c>
      <c r="L96" s="12"/>
      <c r="M96" s="12"/>
      <c r="N96" s="8">
        <f>3+4</f>
        <v>7</v>
      </c>
      <c r="O96" s="8">
        <v>0</v>
      </c>
      <c r="P96" s="8">
        <v>0</v>
      </c>
      <c r="Q96" s="8">
        <v>0</v>
      </c>
      <c r="R96" s="8">
        <v>0</v>
      </c>
      <c r="S96" s="8">
        <v>2</v>
      </c>
      <c r="T96" s="8">
        <v>0</v>
      </c>
      <c r="U96" s="8">
        <v>0</v>
      </c>
      <c r="V96" s="8">
        <f>3+1</f>
        <v>4</v>
      </c>
      <c r="W96" s="8">
        <v>0</v>
      </c>
      <c r="X96" s="8">
        <f>4+1</f>
        <v>5</v>
      </c>
      <c r="Y96" s="1">
        <v>0</v>
      </c>
    </row>
    <row r="97" spans="1:25" ht="12.75" x14ac:dyDescent="0.35">
      <c r="A97" s="8" t="s">
        <v>31</v>
      </c>
      <c r="B97" s="21">
        <v>45920</v>
      </c>
      <c r="C97" s="30">
        <v>0</v>
      </c>
      <c r="D97" s="22">
        <v>0</v>
      </c>
      <c r="E97" s="22">
        <v>0</v>
      </c>
      <c r="F97" s="22">
        <v>0</v>
      </c>
      <c r="G97" s="22">
        <f t="shared" si="3"/>
        <v>0</v>
      </c>
      <c r="H97" s="8">
        <v>8</v>
      </c>
      <c r="I97" s="8"/>
      <c r="J97" s="8"/>
      <c r="K97" s="8"/>
      <c r="L97" s="12" t="s">
        <v>12</v>
      </c>
      <c r="M97" s="12"/>
      <c r="N97" s="8">
        <v>0</v>
      </c>
      <c r="O97" s="8">
        <v>2</v>
      </c>
      <c r="P97" s="8">
        <v>4</v>
      </c>
      <c r="Q97" s="8">
        <v>0</v>
      </c>
      <c r="R97" s="8">
        <v>0</v>
      </c>
      <c r="S97" s="8">
        <v>2</v>
      </c>
      <c r="T97" s="8">
        <v>5</v>
      </c>
      <c r="U97" s="8">
        <v>2</v>
      </c>
      <c r="V97" s="8">
        <v>2</v>
      </c>
      <c r="W97" s="8">
        <v>0</v>
      </c>
      <c r="X97" s="8">
        <v>4</v>
      </c>
      <c r="Y97" s="1">
        <v>0</v>
      </c>
    </row>
    <row r="98" spans="1:25" ht="12.75" x14ac:dyDescent="0.35">
      <c r="A98" s="8" t="s">
        <v>32</v>
      </c>
      <c r="B98" s="21">
        <v>45921</v>
      </c>
      <c r="C98" s="30">
        <v>0</v>
      </c>
      <c r="D98" s="22">
        <v>0</v>
      </c>
      <c r="E98" s="22">
        <v>0</v>
      </c>
      <c r="F98" s="22">
        <v>0</v>
      </c>
      <c r="G98" s="22">
        <f t="shared" si="3"/>
        <v>0</v>
      </c>
      <c r="H98" s="8">
        <v>8</v>
      </c>
      <c r="I98" s="8"/>
      <c r="J98" s="8"/>
      <c r="K98" s="8"/>
      <c r="L98" s="12" t="s">
        <v>12</v>
      </c>
      <c r="M98" s="12"/>
      <c r="N98" s="8">
        <v>0</v>
      </c>
      <c r="O98" s="8">
        <f>3+1</f>
        <v>4</v>
      </c>
      <c r="P98" s="8">
        <v>0</v>
      </c>
      <c r="Q98" s="8">
        <v>2</v>
      </c>
      <c r="R98" s="8">
        <v>0</v>
      </c>
      <c r="S98" s="8">
        <v>2</v>
      </c>
      <c r="T98" s="8">
        <v>0</v>
      </c>
      <c r="U98" s="8">
        <v>3</v>
      </c>
      <c r="V98" s="8">
        <v>0</v>
      </c>
      <c r="W98" s="8">
        <v>0</v>
      </c>
      <c r="X98" s="8">
        <f>3+2</f>
        <v>5</v>
      </c>
      <c r="Y98" s="1">
        <v>0</v>
      </c>
    </row>
    <row r="99" spans="1:25" ht="12.75" x14ac:dyDescent="0.35">
      <c r="A99" s="8" t="s">
        <v>31</v>
      </c>
      <c r="B99" s="21">
        <v>45927</v>
      </c>
      <c r="C99" s="30">
        <v>0</v>
      </c>
      <c r="D99" s="22">
        <v>0</v>
      </c>
      <c r="E99" s="22">
        <v>0</v>
      </c>
      <c r="F99" s="22">
        <v>0</v>
      </c>
      <c r="G99" s="22">
        <f t="shared" si="3"/>
        <v>0</v>
      </c>
      <c r="H99" s="8">
        <v>14</v>
      </c>
      <c r="I99" s="8"/>
      <c r="J99" s="8"/>
      <c r="K99" s="8"/>
      <c r="L99" s="12" t="s">
        <v>12</v>
      </c>
      <c r="M99" s="12"/>
      <c r="N99" s="8">
        <v>0</v>
      </c>
      <c r="O99" s="8">
        <f>3+5</f>
        <v>8</v>
      </c>
      <c r="P99" s="8">
        <v>0</v>
      </c>
      <c r="Q99" s="8">
        <v>0</v>
      </c>
      <c r="R99" s="8">
        <v>0</v>
      </c>
      <c r="S99" s="8">
        <v>6</v>
      </c>
      <c r="T99" s="8">
        <v>0</v>
      </c>
      <c r="U99" s="8">
        <v>2</v>
      </c>
      <c r="V99" s="8">
        <f>1+3</f>
        <v>4</v>
      </c>
      <c r="W99" s="8">
        <v>0</v>
      </c>
      <c r="X99" s="8">
        <f>5+3</f>
        <v>8</v>
      </c>
      <c r="Y99" s="1">
        <v>0</v>
      </c>
    </row>
    <row r="100" spans="1:25" ht="12.75" x14ac:dyDescent="0.35">
      <c r="A100" s="10" t="s">
        <v>32</v>
      </c>
      <c r="B100" s="24">
        <v>45928</v>
      </c>
      <c r="C100" s="25">
        <v>219.15</v>
      </c>
      <c r="D100" s="25">
        <v>220</v>
      </c>
      <c r="E100" s="25">
        <f>F100*1.38</f>
        <v>179.39999999999998</v>
      </c>
      <c r="F100" s="25">
        <v>130</v>
      </c>
      <c r="G100" s="25">
        <f t="shared" si="3"/>
        <v>618.54999999999995</v>
      </c>
      <c r="H100" s="10">
        <v>41</v>
      </c>
      <c r="I100" s="10"/>
      <c r="J100" s="10"/>
      <c r="K100" s="10"/>
      <c r="L100" s="13"/>
      <c r="M100" s="13"/>
      <c r="N100" s="10">
        <v>0</v>
      </c>
      <c r="O100" s="10">
        <f>4+9+14</f>
        <v>27</v>
      </c>
      <c r="P100" s="10">
        <v>1</v>
      </c>
      <c r="Q100" s="10">
        <f>11</f>
        <v>11</v>
      </c>
      <c r="R100" s="10">
        <v>0</v>
      </c>
      <c r="S100" s="10">
        <v>2</v>
      </c>
      <c r="T100" s="10">
        <v>0</v>
      </c>
      <c r="U100" s="10">
        <v>4</v>
      </c>
      <c r="V100" s="10">
        <v>9</v>
      </c>
      <c r="W100" s="10">
        <v>0</v>
      </c>
      <c r="X100" s="10">
        <f>14+1+13</f>
        <v>28</v>
      </c>
      <c r="Y100" s="1">
        <v>0</v>
      </c>
    </row>
    <row r="101" spans="1:25" ht="12.75" x14ac:dyDescent="0.35">
      <c r="B101" s="14"/>
      <c r="C101" s="14"/>
      <c r="D101" s="26"/>
      <c r="E101" s="27"/>
      <c r="F101" s="27"/>
      <c r="G101" s="27"/>
      <c r="H101" s="18"/>
      <c r="I101" s="1"/>
      <c r="J101" s="1"/>
      <c r="K101" s="1"/>
      <c r="L101" s="3"/>
      <c r="M101" s="3"/>
      <c r="N101" s="1"/>
      <c r="O101" s="1"/>
      <c r="P101" s="1"/>
      <c r="Q101" s="1"/>
      <c r="R101" s="14"/>
      <c r="S101" s="1"/>
      <c r="T101" s="1"/>
      <c r="U101" s="1"/>
      <c r="V101" s="1"/>
      <c r="W101" s="1"/>
      <c r="X101" s="1"/>
      <c r="Y101" s="1"/>
    </row>
    <row r="102" spans="1:25" ht="12.75" x14ac:dyDescent="0.35">
      <c r="B102" s="14"/>
      <c r="C102" s="14"/>
      <c r="D102" s="26"/>
      <c r="E102" s="27"/>
      <c r="F102" s="27"/>
      <c r="G102" s="27"/>
      <c r="H102" s="18"/>
      <c r="I102" s="3"/>
      <c r="J102" s="3"/>
      <c r="K102" s="3"/>
      <c r="L102" s="3"/>
      <c r="M102" s="3"/>
      <c r="O102" s="1"/>
      <c r="P102" s="1"/>
      <c r="Q102" s="1"/>
      <c r="R102" s="14"/>
      <c r="S102" s="1"/>
      <c r="T102" s="1"/>
      <c r="U102" s="1"/>
      <c r="V102" s="1"/>
      <c r="W102" s="1"/>
      <c r="X102" s="1"/>
      <c r="Y102" s="1"/>
    </row>
    <row r="103" spans="1:25" ht="12.75" x14ac:dyDescent="0.35">
      <c r="B103" s="14"/>
      <c r="C103" s="14"/>
      <c r="D103" s="26"/>
      <c r="E103" s="27"/>
      <c r="F103" s="27"/>
      <c r="G103" s="27"/>
      <c r="H103" s="18"/>
      <c r="I103" s="1"/>
      <c r="J103" s="1"/>
      <c r="K103" s="1"/>
      <c r="L103" s="3"/>
      <c r="M103" s="3"/>
      <c r="N103" s="1"/>
      <c r="O103" s="1"/>
      <c r="P103" s="1"/>
      <c r="Q103" s="1"/>
      <c r="R103" s="14"/>
      <c r="S103" s="1"/>
      <c r="T103" s="1"/>
      <c r="U103" s="1"/>
      <c r="V103" s="1"/>
      <c r="W103" s="1"/>
      <c r="X103" s="1"/>
      <c r="Y103" s="1"/>
    </row>
    <row r="104" spans="1:25" ht="12.75" x14ac:dyDescent="0.35">
      <c r="B104" s="14"/>
      <c r="C104" s="14"/>
      <c r="D104" s="26"/>
      <c r="E104" s="27"/>
      <c r="F104" s="27"/>
      <c r="G104" s="27"/>
      <c r="H104" s="18"/>
      <c r="I104" s="1"/>
      <c r="J104" s="1"/>
      <c r="K104" s="1"/>
      <c r="L104" s="3"/>
      <c r="M104" s="3"/>
      <c r="N104" s="1"/>
      <c r="O104" s="1"/>
      <c r="P104" s="1"/>
      <c r="Q104" s="1"/>
      <c r="R104" s="14"/>
      <c r="S104" s="1"/>
      <c r="T104" s="1"/>
      <c r="U104" s="1"/>
      <c r="V104" s="1"/>
      <c r="W104" s="1"/>
      <c r="X104" s="1"/>
      <c r="Y104" s="1"/>
    </row>
    <row r="105" spans="1:25" ht="12.75" x14ac:dyDescent="0.35">
      <c r="B105" s="14"/>
      <c r="C105" s="14"/>
      <c r="D105" s="26"/>
      <c r="E105" s="27"/>
      <c r="F105" s="27"/>
      <c r="G105" s="27"/>
      <c r="H105" s="18"/>
      <c r="I105" s="3"/>
      <c r="J105" s="3"/>
      <c r="K105" s="3"/>
      <c r="L105" s="3"/>
      <c r="M105" s="3"/>
      <c r="R105" s="14"/>
      <c r="S105" s="1"/>
      <c r="U105" s="1"/>
      <c r="V105" s="1"/>
      <c r="W105" s="1"/>
      <c r="X105" s="1"/>
      <c r="Y105" s="3"/>
    </row>
    <row r="106" spans="1:25" ht="12.75" x14ac:dyDescent="0.35">
      <c r="B106" s="14"/>
      <c r="C106" s="14"/>
      <c r="D106" s="26"/>
      <c r="E106" s="27"/>
      <c r="F106" s="27"/>
      <c r="G106" s="27"/>
      <c r="H106" s="18"/>
      <c r="I106" s="3"/>
      <c r="J106" s="3"/>
      <c r="K106" s="3"/>
      <c r="L106" s="3"/>
      <c r="M106" s="3"/>
      <c r="R106" s="14"/>
      <c r="S106" s="1"/>
      <c r="U106" s="1"/>
      <c r="V106" s="1"/>
      <c r="W106" s="1"/>
      <c r="X106" s="1"/>
      <c r="Y106" s="3"/>
    </row>
    <row r="107" spans="1:25" ht="12.75" x14ac:dyDescent="0.35">
      <c r="B107" s="14"/>
      <c r="C107" s="14"/>
      <c r="D107" s="26"/>
      <c r="E107" s="27"/>
      <c r="F107" s="27"/>
      <c r="G107" s="27"/>
      <c r="H107" s="18"/>
      <c r="I107" s="3"/>
      <c r="J107" s="3"/>
      <c r="K107" s="3"/>
      <c r="L107" s="3"/>
      <c r="M107" s="3"/>
      <c r="R107" s="14"/>
      <c r="S107" s="1"/>
      <c r="U107" s="1"/>
      <c r="V107" s="1"/>
      <c r="W107" s="1"/>
      <c r="X107" s="1"/>
      <c r="Y107" s="3"/>
    </row>
    <row r="108" spans="1:25" ht="12.75" x14ac:dyDescent="0.35">
      <c r="B108" s="14"/>
      <c r="C108" s="14"/>
      <c r="D108" s="26"/>
      <c r="E108" s="27"/>
      <c r="F108" s="27"/>
      <c r="G108" s="27"/>
      <c r="H108" s="18"/>
      <c r="I108" s="3"/>
      <c r="J108" s="3"/>
      <c r="K108" s="3"/>
      <c r="L108" s="3"/>
      <c r="M108" s="3"/>
      <c r="R108" s="14"/>
      <c r="S108" s="1"/>
      <c r="U108" s="1"/>
      <c r="V108" s="1"/>
      <c r="W108" s="1"/>
      <c r="X108" s="1"/>
      <c r="Y108" s="3"/>
    </row>
    <row r="109" spans="1:25" ht="12.75" x14ac:dyDescent="0.35">
      <c r="B109" s="14"/>
      <c r="C109" s="14"/>
      <c r="D109" s="26"/>
      <c r="E109" s="27"/>
      <c r="F109" s="27"/>
      <c r="G109" s="27"/>
      <c r="H109" s="18"/>
      <c r="I109" s="3"/>
      <c r="J109" s="3"/>
      <c r="K109" s="3"/>
      <c r="L109" s="3"/>
      <c r="M109" s="3"/>
      <c r="R109" s="14"/>
      <c r="S109" s="1"/>
      <c r="U109" s="1"/>
      <c r="V109" s="1"/>
      <c r="W109" s="1"/>
      <c r="X109" s="1"/>
      <c r="Y109" s="3"/>
    </row>
    <row r="110" spans="1:25" ht="12.75" x14ac:dyDescent="0.35">
      <c r="B110" s="14"/>
      <c r="C110" s="14"/>
      <c r="D110" s="26"/>
      <c r="E110" s="27"/>
      <c r="F110" s="27"/>
      <c r="G110" s="27"/>
      <c r="H110" s="18"/>
      <c r="I110" s="3"/>
      <c r="J110" s="3"/>
      <c r="K110" s="3"/>
      <c r="L110" s="3"/>
      <c r="M110" s="3"/>
      <c r="R110" s="14"/>
      <c r="S110" s="1"/>
      <c r="U110" s="1"/>
      <c r="V110" s="1"/>
      <c r="W110" s="1"/>
      <c r="X110" s="1"/>
      <c r="Y110" s="3"/>
    </row>
    <row r="111" spans="1:25" ht="12.75" x14ac:dyDescent="0.35">
      <c r="B111" s="14"/>
      <c r="C111" s="14"/>
      <c r="D111" s="26"/>
      <c r="E111" s="27"/>
      <c r="F111" s="27"/>
      <c r="G111" s="27"/>
      <c r="H111" s="18"/>
      <c r="I111" s="3"/>
      <c r="J111" s="3"/>
      <c r="K111" s="3"/>
      <c r="L111" s="3"/>
      <c r="M111" s="3"/>
      <c r="R111" s="14"/>
      <c r="S111" s="1"/>
      <c r="U111" s="1"/>
      <c r="V111" s="1"/>
      <c r="W111" s="1"/>
      <c r="X111" s="1"/>
      <c r="Y111" s="3"/>
    </row>
    <row r="112" spans="1:25" ht="12.75" x14ac:dyDescent="0.35">
      <c r="B112" s="14"/>
      <c r="C112" s="14"/>
      <c r="D112" s="26"/>
      <c r="E112" s="27"/>
      <c r="F112" s="27"/>
      <c r="G112" s="27"/>
      <c r="H112" s="18"/>
      <c r="I112" s="3"/>
      <c r="J112" s="3"/>
      <c r="K112" s="3"/>
      <c r="L112" s="3"/>
      <c r="M112" s="3"/>
      <c r="R112" s="14"/>
      <c r="S112" s="1"/>
      <c r="U112" s="1"/>
      <c r="V112" s="1"/>
      <c r="W112" s="1"/>
      <c r="X112" s="1"/>
      <c r="Y112" s="3"/>
    </row>
    <row r="113" spans="2:25" ht="12.75" x14ac:dyDescent="0.35">
      <c r="B113" s="14"/>
      <c r="C113" s="14"/>
      <c r="D113" s="26"/>
      <c r="E113" s="27"/>
      <c r="F113" s="27"/>
      <c r="G113" s="27"/>
      <c r="H113" s="18"/>
      <c r="I113" s="3"/>
      <c r="J113" s="3"/>
      <c r="K113" s="3"/>
      <c r="L113" s="3"/>
      <c r="M113" s="3"/>
      <c r="R113" s="14"/>
      <c r="S113" s="1"/>
      <c r="U113" s="1"/>
      <c r="V113" s="1"/>
      <c r="W113" s="1"/>
      <c r="X113" s="1"/>
      <c r="Y113" s="3"/>
    </row>
    <row r="114" spans="2:25" ht="12.75" x14ac:dyDescent="0.35">
      <c r="B114" s="14"/>
      <c r="C114" s="14"/>
      <c r="D114" s="26"/>
      <c r="E114" s="27"/>
      <c r="F114" s="27"/>
      <c r="G114" s="27"/>
      <c r="H114" s="18"/>
      <c r="I114" s="3"/>
      <c r="J114" s="3"/>
      <c r="K114" s="3"/>
      <c r="L114" s="3"/>
      <c r="M114" s="3"/>
      <c r="R114" s="14"/>
      <c r="S114" s="1"/>
      <c r="U114" s="1"/>
      <c r="V114" s="1"/>
      <c r="W114" s="1"/>
      <c r="X114" s="1"/>
      <c r="Y114" s="3"/>
    </row>
    <row r="115" spans="2:25" ht="12.75" x14ac:dyDescent="0.35">
      <c r="B115" s="14"/>
      <c r="C115" s="14"/>
      <c r="D115" s="26"/>
      <c r="E115" s="27"/>
      <c r="F115" s="27"/>
      <c r="G115" s="27"/>
      <c r="H115" s="18"/>
      <c r="I115" s="3"/>
      <c r="J115" s="3"/>
      <c r="K115" s="3"/>
      <c r="L115" s="3"/>
      <c r="M115" s="3"/>
      <c r="R115" s="14"/>
      <c r="S115" s="1"/>
      <c r="U115" s="1"/>
      <c r="V115" s="1"/>
      <c r="W115" s="1"/>
      <c r="X115" s="1"/>
      <c r="Y115" s="3"/>
    </row>
    <row r="116" spans="2:25" ht="12.75" x14ac:dyDescent="0.35">
      <c r="B116" s="14"/>
      <c r="C116" s="14"/>
      <c r="D116" s="26"/>
      <c r="E116" s="27"/>
      <c r="F116" s="27"/>
      <c r="G116" s="27"/>
      <c r="H116" s="18"/>
      <c r="I116" s="3"/>
      <c r="J116" s="3"/>
      <c r="K116" s="3"/>
      <c r="L116" s="3"/>
      <c r="M116" s="3"/>
      <c r="R116" s="14"/>
      <c r="S116" s="1"/>
      <c r="U116" s="1"/>
      <c r="V116" s="1"/>
      <c r="W116" s="1"/>
      <c r="X116" s="1"/>
      <c r="Y116" s="3"/>
    </row>
    <row r="117" spans="2:25" ht="12.75" x14ac:dyDescent="0.35">
      <c r="B117" s="14"/>
      <c r="C117" s="14"/>
      <c r="D117" s="26"/>
      <c r="E117" s="27"/>
      <c r="F117" s="27"/>
      <c r="G117" s="27"/>
      <c r="H117" s="18"/>
      <c r="I117" s="3"/>
      <c r="J117" s="3"/>
      <c r="K117" s="3"/>
      <c r="L117" s="3"/>
      <c r="M117" s="3"/>
      <c r="R117" s="14"/>
      <c r="S117" s="1"/>
      <c r="U117" s="1"/>
      <c r="V117" s="1"/>
      <c r="W117" s="1"/>
      <c r="X117" s="1"/>
      <c r="Y117" s="3"/>
    </row>
    <row r="118" spans="2:25" ht="12.75" x14ac:dyDescent="0.35">
      <c r="B118" s="14"/>
      <c r="C118" s="14"/>
      <c r="D118" s="26"/>
      <c r="E118" s="27"/>
      <c r="F118" s="27"/>
      <c r="G118" s="27"/>
      <c r="H118" s="18"/>
      <c r="I118" s="3"/>
      <c r="J118" s="3"/>
      <c r="K118" s="3"/>
      <c r="L118" s="3"/>
      <c r="M118" s="3"/>
      <c r="R118" s="14"/>
      <c r="S118" s="1"/>
      <c r="U118" s="1"/>
      <c r="V118" s="1"/>
      <c r="W118" s="1"/>
      <c r="X118" s="1"/>
      <c r="Y118" s="3"/>
    </row>
    <row r="119" spans="2:25" ht="12.75" x14ac:dyDescent="0.35">
      <c r="B119" s="14"/>
      <c r="C119" s="14"/>
      <c r="D119" s="26"/>
      <c r="E119" s="27"/>
      <c r="F119" s="27"/>
      <c r="G119" s="27"/>
      <c r="H119" s="18"/>
      <c r="I119" s="3"/>
      <c r="J119" s="3"/>
      <c r="K119" s="3"/>
      <c r="L119" s="3"/>
      <c r="M119" s="3"/>
      <c r="R119" s="14"/>
      <c r="S119" s="1"/>
      <c r="U119" s="1"/>
      <c r="V119" s="1"/>
      <c r="W119" s="1"/>
      <c r="X119" s="1"/>
      <c r="Y119" s="3"/>
    </row>
    <row r="120" spans="2:25" ht="12.75" x14ac:dyDescent="0.35">
      <c r="B120" s="14"/>
      <c r="C120" s="14"/>
      <c r="D120" s="26"/>
      <c r="E120" s="27"/>
      <c r="F120" s="27"/>
      <c r="G120" s="27"/>
      <c r="H120" s="18"/>
      <c r="I120" s="3"/>
      <c r="J120" s="3"/>
      <c r="K120" s="3"/>
      <c r="L120" s="3"/>
      <c r="M120" s="3"/>
      <c r="R120" s="14"/>
      <c r="S120" s="1"/>
      <c r="U120" s="1"/>
      <c r="V120" s="1"/>
      <c r="W120" s="1"/>
      <c r="X120" s="1"/>
      <c r="Y120" s="3"/>
    </row>
    <row r="121" spans="2:25" ht="12.75" x14ac:dyDescent="0.35">
      <c r="B121" s="14"/>
      <c r="C121" s="14"/>
      <c r="D121" s="26"/>
      <c r="E121" s="27"/>
      <c r="F121" s="27"/>
      <c r="G121" s="27"/>
      <c r="H121" s="18"/>
      <c r="I121" s="3"/>
      <c r="J121" s="3"/>
      <c r="K121" s="3"/>
      <c r="L121" s="3"/>
      <c r="M121" s="3"/>
      <c r="R121" s="14"/>
      <c r="S121" s="1"/>
      <c r="U121" s="1"/>
      <c r="V121" s="1"/>
      <c r="W121" s="1"/>
      <c r="X121" s="1"/>
      <c r="Y121" s="3"/>
    </row>
    <row r="122" spans="2:25" ht="12.75" x14ac:dyDescent="0.35">
      <c r="B122" s="14"/>
      <c r="C122" s="14"/>
      <c r="D122" s="26"/>
      <c r="E122" s="27"/>
      <c r="F122" s="27"/>
      <c r="G122" s="27"/>
      <c r="H122" s="18"/>
      <c r="I122" s="3"/>
      <c r="J122" s="3"/>
      <c r="K122" s="3"/>
      <c r="L122" s="3"/>
      <c r="M122" s="3"/>
      <c r="R122" s="14"/>
      <c r="S122" s="1"/>
      <c r="U122" s="1"/>
      <c r="V122" s="1"/>
      <c r="W122" s="1"/>
      <c r="X122" s="1"/>
      <c r="Y122" s="3"/>
    </row>
    <row r="123" spans="2:25" ht="12.75" x14ac:dyDescent="0.35">
      <c r="B123" s="14"/>
      <c r="C123" s="14"/>
      <c r="D123" s="26"/>
      <c r="E123" s="27"/>
      <c r="F123" s="27"/>
      <c r="G123" s="27"/>
      <c r="H123" s="18"/>
      <c r="I123" s="3"/>
      <c r="J123" s="3"/>
      <c r="K123" s="3"/>
      <c r="L123" s="3"/>
      <c r="M123" s="3"/>
      <c r="R123" s="14"/>
      <c r="S123" s="1"/>
      <c r="U123" s="1"/>
      <c r="V123" s="1"/>
      <c r="W123" s="1"/>
      <c r="X123" s="1"/>
      <c r="Y123" s="3"/>
    </row>
    <row r="124" spans="2:25" ht="12.75" x14ac:dyDescent="0.35">
      <c r="B124" s="14"/>
      <c r="C124" s="14"/>
      <c r="D124" s="26"/>
      <c r="E124" s="27"/>
      <c r="F124" s="27"/>
      <c r="G124" s="27"/>
      <c r="H124" s="18"/>
      <c r="I124" s="3"/>
      <c r="J124" s="3"/>
      <c r="K124" s="3"/>
      <c r="L124" s="3"/>
      <c r="M124" s="3"/>
      <c r="R124" s="14"/>
      <c r="S124" s="1"/>
      <c r="U124" s="1"/>
      <c r="V124" s="1"/>
      <c r="W124" s="1"/>
      <c r="X124" s="1"/>
      <c r="Y124" s="3"/>
    </row>
    <row r="125" spans="2:25" ht="12.75" x14ac:dyDescent="0.35">
      <c r="B125" s="14"/>
      <c r="C125" s="14"/>
      <c r="D125" s="26"/>
      <c r="E125" s="27"/>
      <c r="F125" s="27"/>
      <c r="G125" s="27"/>
      <c r="H125" s="18"/>
      <c r="I125" s="3"/>
      <c r="J125" s="3"/>
      <c r="K125" s="3"/>
      <c r="L125" s="3"/>
      <c r="M125" s="3"/>
      <c r="R125" s="14"/>
      <c r="S125" s="1"/>
      <c r="U125" s="1"/>
      <c r="V125" s="1"/>
      <c r="W125" s="1"/>
      <c r="X125" s="1"/>
      <c r="Y125" s="3"/>
    </row>
    <row r="126" spans="2:25" ht="12.75" x14ac:dyDescent="0.35">
      <c r="B126" s="14"/>
      <c r="C126" s="14"/>
      <c r="D126" s="26"/>
      <c r="E126" s="27"/>
      <c r="F126" s="27"/>
      <c r="G126" s="27"/>
      <c r="H126" s="18"/>
      <c r="I126" s="3"/>
      <c r="J126" s="3"/>
      <c r="K126" s="3"/>
      <c r="L126" s="3"/>
      <c r="M126" s="3"/>
      <c r="R126" s="14"/>
      <c r="S126" s="1"/>
      <c r="U126" s="1"/>
      <c r="V126" s="1"/>
      <c r="W126" s="1"/>
      <c r="X126" s="1"/>
      <c r="Y126" s="3"/>
    </row>
    <row r="127" spans="2:25" ht="12.75" x14ac:dyDescent="0.35">
      <c r="B127" s="14"/>
      <c r="C127" s="14"/>
      <c r="D127" s="26"/>
      <c r="E127" s="27"/>
      <c r="F127" s="27"/>
      <c r="G127" s="27"/>
      <c r="H127" s="18"/>
      <c r="I127" s="3"/>
      <c r="J127" s="3"/>
      <c r="K127" s="3"/>
      <c r="L127" s="3"/>
      <c r="M127" s="3"/>
      <c r="R127" s="14"/>
      <c r="S127" s="1"/>
      <c r="U127" s="1"/>
      <c r="V127" s="1"/>
      <c r="W127" s="1"/>
      <c r="X127" s="1"/>
      <c r="Y127" s="3"/>
    </row>
    <row r="128" spans="2:25" ht="12.75" x14ac:dyDescent="0.35">
      <c r="B128" s="14"/>
      <c r="C128" s="14"/>
      <c r="D128" s="26"/>
      <c r="E128" s="27"/>
      <c r="F128" s="27"/>
      <c r="G128" s="27"/>
      <c r="H128" s="18"/>
      <c r="I128" s="3"/>
      <c r="J128" s="3"/>
      <c r="K128" s="3"/>
      <c r="L128" s="3"/>
      <c r="M128" s="3"/>
      <c r="R128" s="14"/>
      <c r="S128" s="1"/>
      <c r="U128" s="1"/>
      <c r="V128" s="1"/>
      <c r="W128" s="1"/>
      <c r="X128" s="1"/>
      <c r="Y128" s="3"/>
    </row>
    <row r="129" spans="2:25" ht="12.75" x14ac:dyDescent="0.35">
      <c r="B129" s="14"/>
      <c r="C129" s="14"/>
      <c r="D129" s="26"/>
      <c r="E129" s="27"/>
      <c r="F129" s="27"/>
      <c r="G129" s="27"/>
      <c r="H129" s="18"/>
      <c r="I129" s="3"/>
      <c r="J129" s="3"/>
      <c r="K129" s="3"/>
      <c r="L129" s="3"/>
      <c r="M129" s="3"/>
      <c r="R129" s="14"/>
      <c r="S129" s="1"/>
      <c r="U129" s="1"/>
      <c r="V129" s="1"/>
      <c r="W129" s="1"/>
      <c r="X129" s="1"/>
      <c r="Y129" s="3"/>
    </row>
    <row r="130" spans="2:25" ht="12.75" x14ac:dyDescent="0.35">
      <c r="B130" s="14"/>
      <c r="C130" s="14"/>
      <c r="D130" s="26"/>
      <c r="E130" s="27"/>
      <c r="F130" s="27"/>
      <c r="G130" s="27"/>
      <c r="H130" s="18"/>
      <c r="I130" s="3"/>
      <c r="J130" s="3"/>
      <c r="K130" s="3"/>
      <c r="L130" s="3"/>
      <c r="M130" s="3"/>
      <c r="R130" s="14"/>
      <c r="S130" s="1"/>
      <c r="U130" s="1"/>
      <c r="V130" s="1"/>
      <c r="W130" s="1"/>
      <c r="X130" s="1"/>
      <c r="Y130" s="3"/>
    </row>
    <row r="131" spans="2:25" ht="12.75" x14ac:dyDescent="0.35">
      <c r="B131" s="14"/>
      <c r="C131" s="14"/>
      <c r="D131" s="26"/>
      <c r="E131" s="27"/>
      <c r="F131" s="27"/>
      <c r="G131" s="27"/>
      <c r="H131" s="18"/>
      <c r="I131" s="3"/>
      <c r="J131" s="3"/>
      <c r="K131" s="3"/>
      <c r="L131" s="3"/>
      <c r="M131" s="3"/>
      <c r="R131" s="14"/>
      <c r="S131" s="1"/>
      <c r="U131" s="1"/>
      <c r="V131" s="1"/>
      <c r="W131" s="1"/>
      <c r="X131" s="1"/>
      <c r="Y131" s="3"/>
    </row>
    <row r="132" spans="2:25" ht="12.75" x14ac:dyDescent="0.35">
      <c r="B132" s="14"/>
      <c r="C132" s="14"/>
      <c r="D132" s="26"/>
      <c r="E132" s="27"/>
      <c r="F132" s="27"/>
      <c r="G132" s="27"/>
      <c r="H132" s="18"/>
      <c r="I132" s="3"/>
      <c r="J132" s="3"/>
      <c r="K132" s="3"/>
      <c r="L132" s="3"/>
      <c r="M132" s="3"/>
      <c r="R132" s="14"/>
      <c r="S132" s="1"/>
      <c r="U132" s="1"/>
      <c r="V132" s="1"/>
      <c r="W132" s="1"/>
      <c r="X132" s="1"/>
      <c r="Y132" s="3"/>
    </row>
    <row r="133" spans="2:25" ht="12.75" x14ac:dyDescent="0.35">
      <c r="B133" s="14"/>
      <c r="C133" s="14"/>
      <c r="D133" s="26"/>
      <c r="E133" s="27"/>
      <c r="F133" s="27"/>
      <c r="G133" s="27"/>
      <c r="H133" s="18"/>
      <c r="I133" s="3"/>
      <c r="J133" s="3"/>
      <c r="K133" s="3"/>
      <c r="L133" s="3"/>
      <c r="M133" s="3"/>
      <c r="R133" s="14"/>
      <c r="S133" s="1"/>
      <c r="U133" s="1"/>
      <c r="V133" s="1"/>
      <c r="W133" s="1"/>
      <c r="X133" s="1"/>
      <c r="Y133" s="3"/>
    </row>
    <row r="134" spans="2:25" ht="12.75" x14ac:dyDescent="0.35">
      <c r="B134" s="14"/>
      <c r="C134" s="14"/>
      <c r="D134" s="26"/>
      <c r="E134" s="27"/>
      <c r="F134" s="27"/>
      <c r="G134" s="27"/>
      <c r="H134" s="18"/>
      <c r="I134" s="3"/>
      <c r="J134" s="3"/>
      <c r="K134" s="3"/>
      <c r="L134" s="3"/>
      <c r="M134" s="3"/>
      <c r="R134" s="14"/>
      <c r="S134" s="1"/>
      <c r="U134" s="1"/>
      <c r="V134" s="1"/>
      <c r="W134" s="1"/>
      <c r="X134" s="1"/>
      <c r="Y134" s="3"/>
    </row>
    <row r="135" spans="2:25" ht="12.75" x14ac:dyDescent="0.35">
      <c r="B135" s="14"/>
      <c r="C135" s="14"/>
      <c r="D135" s="26"/>
      <c r="E135" s="27"/>
      <c r="F135" s="27"/>
      <c r="G135" s="27"/>
      <c r="H135" s="18"/>
      <c r="I135" s="3"/>
      <c r="J135" s="3"/>
      <c r="K135" s="3"/>
      <c r="L135" s="3"/>
      <c r="M135" s="3"/>
      <c r="R135" s="14"/>
      <c r="S135" s="1"/>
      <c r="U135" s="1"/>
      <c r="V135" s="1"/>
      <c r="W135" s="1"/>
      <c r="X135" s="1"/>
      <c r="Y135" s="3"/>
    </row>
    <row r="136" spans="2:25" ht="12.75" x14ac:dyDescent="0.35">
      <c r="B136" s="14"/>
      <c r="C136" s="14"/>
      <c r="D136" s="26"/>
      <c r="E136" s="27"/>
      <c r="F136" s="27"/>
      <c r="G136" s="27"/>
      <c r="H136" s="18"/>
      <c r="I136" s="3"/>
      <c r="J136" s="3"/>
      <c r="K136" s="3"/>
      <c r="L136" s="3"/>
      <c r="M136" s="3"/>
      <c r="R136" s="14"/>
      <c r="S136" s="1"/>
      <c r="U136" s="1"/>
      <c r="V136" s="1"/>
      <c r="W136" s="1"/>
      <c r="X136" s="1"/>
      <c r="Y136" s="3"/>
    </row>
    <row r="137" spans="2:25" ht="12.75" x14ac:dyDescent="0.35">
      <c r="B137" s="14"/>
      <c r="C137" s="14"/>
      <c r="D137" s="26"/>
      <c r="E137" s="27"/>
      <c r="F137" s="27"/>
      <c r="G137" s="27"/>
      <c r="H137" s="18"/>
      <c r="I137" s="3"/>
      <c r="J137" s="3"/>
      <c r="K137" s="3"/>
      <c r="L137" s="3"/>
      <c r="M137" s="3"/>
      <c r="R137" s="14"/>
      <c r="S137" s="1"/>
      <c r="U137" s="1"/>
      <c r="V137" s="1"/>
      <c r="W137" s="1"/>
      <c r="X137" s="1"/>
      <c r="Y137" s="3"/>
    </row>
    <row r="138" spans="2:25" ht="12.75" x14ac:dyDescent="0.35">
      <c r="B138" s="14"/>
      <c r="C138" s="14"/>
      <c r="D138" s="26"/>
      <c r="E138" s="27"/>
      <c r="F138" s="27"/>
      <c r="G138" s="27"/>
      <c r="H138" s="18"/>
      <c r="I138" s="3"/>
      <c r="J138" s="3"/>
      <c r="K138" s="3"/>
      <c r="L138" s="3"/>
      <c r="M138" s="3"/>
      <c r="R138" s="14"/>
      <c r="S138" s="1"/>
      <c r="U138" s="1"/>
      <c r="V138" s="1"/>
      <c r="W138" s="1"/>
      <c r="X138" s="1"/>
      <c r="Y138" s="3"/>
    </row>
    <row r="139" spans="2:25" ht="12.75" x14ac:dyDescent="0.35">
      <c r="B139" s="14"/>
      <c r="C139" s="14"/>
      <c r="D139" s="26"/>
      <c r="E139" s="27"/>
      <c r="F139" s="27"/>
      <c r="G139" s="27"/>
      <c r="H139" s="18"/>
      <c r="I139" s="3"/>
      <c r="J139" s="3"/>
      <c r="K139" s="3"/>
      <c r="L139" s="3"/>
      <c r="M139" s="3"/>
      <c r="R139" s="14"/>
      <c r="S139" s="1"/>
      <c r="U139" s="1"/>
      <c r="V139" s="1"/>
      <c r="W139" s="1"/>
      <c r="X139" s="1"/>
      <c r="Y139" s="3"/>
    </row>
    <row r="140" spans="2:25" ht="12.75" x14ac:dyDescent="0.35">
      <c r="B140" s="14"/>
      <c r="C140" s="14"/>
      <c r="D140" s="26"/>
      <c r="E140" s="27"/>
      <c r="F140" s="27"/>
      <c r="G140" s="27"/>
      <c r="H140" s="18"/>
      <c r="I140" s="3"/>
      <c r="J140" s="3"/>
      <c r="K140" s="3"/>
      <c r="L140" s="3"/>
      <c r="M140" s="3"/>
      <c r="R140" s="14"/>
      <c r="S140" s="1"/>
      <c r="U140" s="1"/>
      <c r="V140" s="1"/>
      <c r="W140" s="1"/>
      <c r="X140" s="1"/>
      <c r="Y140" s="3"/>
    </row>
    <row r="141" spans="2:25" ht="12.75" x14ac:dyDescent="0.35">
      <c r="B141" s="14"/>
      <c r="C141" s="14"/>
      <c r="D141" s="26"/>
      <c r="E141" s="27"/>
      <c r="F141" s="27"/>
      <c r="G141" s="27"/>
      <c r="H141" s="18"/>
      <c r="I141" s="3"/>
      <c r="J141" s="3"/>
      <c r="K141" s="3"/>
      <c r="L141" s="3"/>
      <c r="M141" s="3"/>
      <c r="R141" s="14"/>
      <c r="S141" s="1"/>
      <c r="U141" s="1"/>
      <c r="V141" s="1"/>
      <c r="W141" s="1"/>
      <c r="X141" s="1"/>
      <c r="Y141" s="3"/>
    </row>
    <row r="142" spans="2:25" ht="12.75" x14ac:dyDescent="0.35">
      <c r="B142" s="14"/>
      <c r="C142" s="14"/>
      <c r="D142" s="26"/>
      <c r="E142" s="27"/>
      <c r="F142" s="27"/>
      <c r="G142" s="27"/>
      <c r="H142" s="18"/>
      <c r="I142" s="3"/>
      <c r="J142" s="3"/>
      <c r="K142" s="3"/>
      <c r="L142" s="3"/>
      <c r="M142" s="3"/>
      <c r="R142" s="14"/>
      <c r="S142" s="1"/>
      <c r="U142" s="1"/>
      <c r="V142" s="1"/>
      <c r="W142" s="1"/>
      <c r="X142" s="1"/>
      <c r="Y142" s="3"/>
    </row>
    <row r="143" spans="2:25" ht="12.75" x14ac:dyDescent="0.35">
      <c r="B143" s="14"/>
      <c r="C143" s="14"/>
      <c r="D143" s="26"/>
      <c r="E143" s="27"/>
      <c r="F143" s="27"/>
      <c r="G143" s="27"/>
      <c r="H143" s="18"/>
      <c r="I143" s="3"/>
      <c r="J143" s="3"/>
      <c r="K143" s="3"/>
      <c r="L143" s="3"/>
      <c r="M143" s="3"/>
      <c r="R143" s="14"/>
      <c r="S143" s="1"/>
      <c r="U143" s="1"/>
      <c r="V143" s="1"/>
      <c r="W143" s="1"/>
      <c r="X143" s="1"/>
      <c r="Y143" s="3"/>
    </row>
    <row r="144" spans="2:25" ht="12.75" x14ac:dyDescent="0.35">
      <c r="B144" s="14"/>
      <c r="C144" s="14"/>
      <c r="D144" s="26"/>
      <c r="E144" s="27"/>
      <c r="F144" s="27"/>
      <c r="G144" s="27"/>
      <c r="H144" s="18"/>
      <c r="I144" s="3"/>
      <c r="J144" s="3"/>
      <c r="K144" s="3"/>
      <c r="L144" s="3"/>
      <c r="M144" s="3"/>
      <c r="R144" s="14"/>
      <c r="S144" s="1"/>
      <c r="U144" s="1"/>
      <c r="V144" s="1"/>
      <c r="W144" s="1"/>
      <c r="X144" s="1"/>
      <c r="Y144" s="3"/>
    </row>
    <row r="145" spans="2:25" ht="12.75" x14ac:dyDescent="0.35">
      <c r="B145" s="14"/>
      <c r="C145" s="14"/>
      <c r="D145" s="26"/>
      <c r="E145" s="27"/>
      <c r="F145" s="27"/>
      <c r="G145" s="27"/>
      <c r="H145" s="18"/>
      <c r="I145" s="3"/>
      <c r="J145" s="3"/>
      <c r="K145" s="3"/>
      <c r="L145" s="3"/>
      <c r="M145" s="3"/>
      <c r="R145" s="14"/>
      <c r="S145" s="1"/>
      <c r="U145" s="1"/>
      <c r="V145" s="1"/>
      <c r="W145" s="1"/>
      <c r="X145" s="1"/>
      <c r="Y145" s="3"/>
    </row>
    <row r="146" spans="2:25" ht="12.75" x14ac:dyDescent="0.35">
      <c r="B146" s="14"/>
      <c r="C146" s="14"/>
      <c r="D146" s="26"/>
      <c r="E146" s="27"/>
      <c r="F146" s="27"/>
      <c r="G146" s="27"/>
      <c r="H146" s="18"/>
      <c r="I146" s="3"/>
      <c r="J146" s="3"/>
      <c r="K146" s="3"/>
      <c r="L146" s="3"/>
      <c r="M146" s="3"/>
      <c r="R146" s="14"/>
      <c r="S146" s="1"/>
      <c r="U146" s="1"/>
      <c r="V146" s="1"/>
      <c r="W146" s="1"/>
      <c r="X146" s="1"/>
      <c r="Y146" s="3"/>
    </row>
    <row r="147" spans="2:25" ht="12.75" x14ac:dyDescent="0.35">
      <c r="B147" s="14"/>
      <c r="C147" s="14"/>
      <c r="D147" s="26"/>
      <c r="E147" s="27"/>
      <c r="F147" s="27"/>
      <c r="G147" s="27"/>
      <c r="H147" s="18"/>
      <c r="I147" s="3"/>
      <c r="J147" s="3"/>
      <c r="K147" s="3"/>
      <c r="L147" s="3"/>
      <c r="M147" s="3"/>
      <c r="R147" s="14"/>
      <c r="S147" s="1"/>
      <c r="U147" s="1"/>
      <c r="V147" s="1"/>
      <c r="W147" s="1"/>
      <c r="X147" s="1"/>
      <c r="Y147" s="3"/>
    </row>
    <row r="148" spans="2:25" ht="12.75" x14ac:dyDescent="0.35">
      <c r="B148" s="14"/>
      <c r="C148" s="14"/>
      <c r="D148" s="26"/>
      <c r="E148" s="27"/>
      <c r="F148" s="27"/>
      <c r="G148" s="27"/>
      <c r="H148" s="18"/>
      <c r="I148" s="3"/>
      <c r="J148" s="3"/>
      <c r="K148" s="3"/>
      <c r="L148" s="3"/>
      <c r="M148" s="3"/>
      <c r="R148" s="14"/>
      <c r="S148" s="1"/>
      <c r="U148" s="1"/>
      <c r="V148" s="1"/>
      <c r="W148" s="1"/>
      <c r="X148" s="1"/>
      <c r="Y148" s="3"/>
    </row>
    <row r="149" spans="2:25" ht="12.75" x14ac:dyDescent="0.35">
      <c r="B149" s="14"/>
      <c r="C149" s="14"/>
      <c r="D149" s="26"/>
      <c r="E149" s="27"/>
      <c r="F149" s="27"/>
      <c r="G149" s="27"/>
      <c r="H149" s="18"/>
      <c r="I149" s="3"/>
      <c r="J149" s="3"/>
      <c r="K149" s="3"/>
      <c r="L149" s="3"/>
      <c r="M149" s="3"/>
      <c r="R149" s="14"/>
      <c r="S149" s="1"/>
      <c r="U149" s="1"/>
      <c r="V149" s="1"/>
      <c r="W149" s="1"/>
      <c r="X149" s="1"/>
      <c r="Y149" s="3"/>
    </row>
    <row r="150" spans="2:25" ht="12.75" x14ac:dyDescent="0.35">
      <c r="B150" s="14"/>
      <c r="C150" s="14"/>
      <c r="D150" s="26"/>
      <c r="E150" s="27"/>
      <c r="F150" s="27"/>
      <c r="G150" s="27"/>
      <c r="H150" s="18"/>
      <c r="I150" s="3"/>
      <c r="J150" s="3"/>
      <c r="K150" s="3"/>
      <c r="L150" s="3"/>
      <c r="M150" s="3"/>
      <c r="R150" s="14"/>
      <c r="S150" s="1"/>
      <c r="U150" s="1"/>
      <c r="V150" s="1"/>
      <c r="W150" s="1"/>
      <c r="X150" s="1"/>
      <c r="Y150" s="3"/>
    </row>
    <row r="151" spans="2:25" ht="12.75" x14ac:dyDescent="0.35">
      <c r="B151" s="14"/>
      <c r="C151" s="14"/>
      <c r="D151" s="26"/>
      <c r="E151" s="27"/>
      <c r="F151" s="27"/>
      <c r="G151" s="27"/>
      <c r="H151" s="18"/>
      <c r="I151" s="3"/>
      <c r="J151" s="3"/>
      <c r="K151" s="3"/>
      <c r="L151" s="3"/>
      <c r="M151" s="3"/>
      <c r="R151" s="14"/>
      <c r="S151" s="1"/>
      <c r="U151" s="1"/>
      <c r="V151" s="1"/>
      <c r="W151" s="1"/>
      <c r="X151" s="1"/>
      <c r="Y151" s="3"/>
    </row>
    <row r="152" spans="2:25" ht="12.75" x14ac:dyDescent="0.35">
      <c r="B152" s="14"/>
      <c r="C152" s="14"/>
      <c r="D152" s="26"/>
      <c r="E152" s="27"/>
      <c r="F152" s="27"/>
      <c r="G152" s="27"/>
      <c r="H152" s="18"/>
      <c r="I152" s="3"/>
      <c r="J152" s="3"/>
      <c r="K152" s="3"/>
      <c r="L152" s="3"/>
      <c r="M152" s="3"/>
      <c r="R152" s="14"/>
      <c r="S152" s="1"/>
      <c r="U152" s="1"/>
      <c r="V152" s="1"/>
      <c r="W152" s="1"/>
      <c r="X152" s="1"/>
      <c r="Y152" s="3"/>
    </row>
    <row r="153" spans="2:25" ht="12.75" x14ac:dyDescent="0.35">
      <c r="B153" s="14"/>
      <c r="C153" s="14"/>
      <c r="D153" s="26"/>
      <c r="E153" s="27"/>
      <c r="F153" s="27"/>
      <c r="G153" s="27"/>
      <c r="H153" s="18"/>
      <c r="I153" s="3"/>
      <c r="J153" s="3"/>
      <c r="K153" s="3"/>
      <c r="L153" s="3"/>
      <c r="M153" s="3"/>
      <c r="R153" s="14"/>
      <c r="S153" s="1"/>
      <c r="U153" s="1"/>
      <c r="V153" s="1"/>
      <c r="W153" s="1"/>
      <c r="X153" s="1"/>
      <c r="Y153" s="3"/>
    </row>
    <row r="154" spans="2:25" ht="12.75" x14ac:dyDescent="0.35">
      <c r="B154" s="14"/>
      <c r="C154" s="14"/>
      <c r="D154" s="26"/>
      <c r="E154" s="27"/>
      <c r="F154" s="27"/>
      <c r="G154" s="27"/>
      <c r="H154" s="18"/>
      <c r="I154" s="3"/>
      <c r="J154" s="3"/>
      <c r="K154" s="3"/>
      <c r="L154" s="3"/>
      <c r="M154" s="3"/>
      <c r="R154" s="14"/>
      <c r="S154" s="1"/>
      <c r="U154" s="1"/>
      <c r="V154" s="1"/>
      <c r="W154" s="1"/>
      <c r="X154" s="1"/>
      <c r="Y154" s="3"/>
    </row>
    <row r="155" spans="2:25" ht="12.75" x14ac:dyDescent="0.35">
      <c r="B155" s="14"/>
      <c r="C155" s="14"/>
      <c r="D155" s="26"/>
      <c r="E155" s="27"/>
      <c r="F155" s="27"/>
      <c r="G155" s="27"/>
      <c r="H155" s="18"/>
      <c r="I155" s="3"/>
      <c r="J155" s="3"/>
      <c r="K155" s="3"/>
      <c r="L155" s="3"/>
      <c r="M155" s="3"/>
      <c r="R155" s="14"/>
      <c r="S155" s="1"/>
      <c r="U155" s="1"/>
      <c r="V155" s="1"/>
      <c r="W155" s="1"/>
      <c r="X155" s="1"/>
      <c r="Y155" s="3"/>
    </row>
    <row r="156" spans="2:25" ht="12.75" x14ac:dyDescent="0.35">
      <c r="B156" s="14"/>
      <c r="C156" s="14"/>
      <c r="D156" s="26"/>
      <c r="E156" s="27"/>
      <c r="F156" s="27"/>
      <c r="G156" s="27"/>
      <c r="H156" s="18"/>
      <c r="I156" s="3"/>
      <c r="J156" s="3"/>
      <c r="K156" s="3"/>
      <c r="L156" s="3"/>
      <c r="M156" s="3"/>
      <c r="R156" s="14"/>
      <c r="S156" s="1"/>
      <c r="U156" s="1"/>
      <c r="V156" s="1"/>
      <c r="W156" s="1"/>
      <c r="X156" s="1"/>
      <c r="Y156" s="3"/>
    </row>
    <row r="157" spans="2:25" ht="12.75" x14ac:dyDescent="0.35">
      <c r="B157" s="14"/>
      <c r="C157" s="14"/>
      <c r="D157" s="26"/>
      <c r="E157" s="27"/>
      <c r="F157" s="27"/>
      <c r="G157" s="27"/>
      <c r="H157" s="18"/>
      <c r="I157" s="3"/>
      <c r="J157" s="3"/>
      <c r="K157" s="3"/>
      <c r="L157" s="3"/>
      <c r="M157" s="3"/>
      <c r="R157" s="14"/>
      <c r="S157" s="1"/>
      <c r="U157" s="1"/>
      <c r="V157" s="1"/>
      <c r="W157" s="1"/>
      <c r="X157" s="1"/>
      <c r="Y157" s="3"/>
    </row>
    <row r="158" spans="2:25" ht="12.75" x14ac:dyDescent="0.35">
      <c r="B158" s="14"/>
      <c r="C158" s="14"/>
      <c r="D158" s="26"/>
      <c r="E158" s="27"/>
      <c r="F158" s="27"/>
      <c r="G158" s="27"/>
      <c r="H158" s="18"/>
      <c r="I158" s="3"/>
      <c r="J158" s="3"/>
      <c r="K158" s="3"/>
      <c r="L158" s="3"/>
      <c r="M158" s="3"/>
      <c r="R158" s="14"/>
      <c r="S158" s="1"/>
      <c r="U158" s="1"/>
      <c r="V158" s="1"/>
      <c r="W158" s="1"/>
      <c r="X158" s="1"/>
      <c r="Y158" s="3"/>
    </row>
    <row r="159" spans="2:25" ht="12.75" x14ac:dyDescent="0.35">
      <c r="B159" s="14"/>
      <c r="C159" s="14"/>
      <c r="D159" s="26"/>
      <c r="E159" s="27"/>
      <c r="F159" s="27"/>
      <c r="G159" s="27"/>
      <c r="H159" s="18"/>
      <c r="I159" s="3"/>
      <c r="J159" s="3"/>
      <c r="K159" s="3"/>
      <c r="L159" s="3"/>
      <c r="M159" s="3"/>
      <c r="R159" s="14"/>
      <c r="S159" s="1"/>
      <c r="U159" s="1"/>
      <c r="V159" s="1"/>
      <c r="W159" s="1"/>
      <c r="X159" s="1"/>
      <c r="Y159" s="3"/>
    </row>
    <row r="160" spans="2:25" ht="12.75" x14ac:dyDescent="0.35">
      <c r="B160" s="14"/>
      <c r="C160" s="14"/>
      <c r="D160" s="26"/>
      <c r="E160" s="27"/>
      <c r="F160" s="27"/>
      <c r="G160" s="27"/>
      <c r="H160" s="18"/>
      <c r="I160" s="3"/>
      <c r="J160" s="3"/>
      <c r="K160" s="3"/>
      <c r="L160" s="3"/>
      <c r="M160" s="3"/>
      <c r="R160" s="14"/>
      <c r="S160" s="1"/>
      <c r="U160" s="1"/>
      <c r="V160" s="1"/>
      <c r="W160" s="1"/>
      <c r="X160" s="1"/>
      <c r="Y160" s="3"/>
    </row>
    <row r="161" spans="2:25" ht="12.75" x14ac:dyDescent="0.35">
      <c r="B161" s="14"/>
      <c r="C161" s="14"/>
      <c r="D161" s="26"/>
      <c r="E161" s="27"/>
      <c r="F161" s="27"/>
      <c r="G161" s="27"/>
      <c r="H161" s="18"/>
      <c r="I161" s="3"/>
      <c r="J161" s="3"/>
      <c r="K161" s="3"/>
      <c r="L161" s="3"/>
      <c r="M161" s="3"/>
      <c r="R161" s="14"/>
      <c r="S161" s="1"/>
      <c r="U161" s="1"/>
      <c r="V161" s="1"/>
      <c r="W161" s="1"/>
      <c r="X161" s="1"/>
      <c r="Y161" s="3"/>
    </row>
    <row r="162" spans="2:25" ht="12.75" x14ac:dyDescent="0.35">
      <c r="B162" s="14"/>
      <c r="C162" s="14"/>
      <c r="D162" s="26"/>
      <c r="E162" s="27"/>
      <c r="F162" s="27"/>
      <c r="G162" s="27"/>
      <c r="H162" s="18"/>
      <c r="I162" s="3"/>
      <c r="J162" s="3"/>
      <c r="K162" s="3"/>
      <c r="L162" s="3"/>
      <c r="M162" s="3"/>
      <c r="R162" s="14"/>
      <c r="S162" s="1"/>
      <c r="U162" s="1"/>
      <c r="V162" s="1"/>
      <c r="W162" s="1"/>
      <c r="X162" s="1"/>
      <c r="Y162" s="3"/>
    </row>
    <row r="163" spans="2:25" ht="12.75" x14ac:dyDescent="0.35">
      <c r="B163" s="14"/>
      <c r="C163" s="14"/>
      <c r="D163" s="26"/>
      <c r="E163" s="27"/>
      <c r="F163" s="27"/>
      <c r="G163" s="27"/>
      <c r="H163" s="18"/>
      <c r="I163" s="3"/>
      <c r="J163" s="3"/>
      <c r="K163" s="3"/>
      <c r="L163" s="3"/>
      <c r="M163" s="3"/>
      <c r="R163" s="14"/>
      <c r="S163" s="1"/>
      <c r="U163" s="1"/>
      <c r="V163" s="1"/>
      <c r="W163" s="1"/>
      <c r="X163" s="1"/>
      <c r="Y163" s="3"/>
    </row>
    <row r="164" spans="2:25" ht="12.75" x14ac:dyDescent="0.35">
      <c r="B164" s="14"/>
      <c r="C164" s="14"/>
      <c r="D164" s="26"/>
      <c r="E164" s="27"/>
      <c r="F164" s="27"/>
      <c r="G164" s="27"/>
      <c r="H164" s="18"/>
      <c r="I164" s="3"/>
      <c r="J164" s="3"/>
      <c r="K164" s="3"/>
      <c r="L164" s="3"/>
      <c r="M164" s="3"/>
      <c r="R164" s="14"/>
      <c r="S164" s="1"/>
      <c r="U164" s="1"/>
      <c r="V164" s="1"/>
      <c r="W164" s="1"/>
      <c r="X164" s="1"/>
      <c r="Y164" s="3"/>
    </row>
    <row r="165" spans="2:25" ht="12.75" x14ac:dyDescent="0.35">
      <c r="B165" s="14"/>
      <c r="C165" s="14"/>
      <c r="D165" s="26"/>
      <c r="E165" s="27"/>
      <c r="F165" s="27"/>
      <c r="G165" s="27"/>
      <c r="H165" s="18"/>
      <c r="I165" s="3"/>
      <c r="J165" s="3"/>
      <c r="K165" s="3"/>
      <c r="L165" s="3"/>
      <c r="M165" s="3"/>
      <c r="R165" s="14"/>
      <c r="S165" s="1"/>
      <c r="U165" s="1"/>
      <c r="V165" s="1"/>
      <c r="W165" s="1"/>
      <c r="X165" s="1"/>
      <c r="Y165" s="3"/>
    </row>
    <row r="166" spans="2:25" ht="12.75" x14ac:dyDescent="0.35">
      <c r="B166" s="14"/>
      <c r="C166" s="14"/>
      <c r="D166" s="26"/>
      <c r="E166" s="27"/>
      <c r="F166" s="27"/>
      <c r="G166" s="27"/>
      <c r="H166" s="18"/>
      <c r="I166" s="3"/>
      <c r="J166" s="3"/>
      <c r="K166" s="3"/>
      <c r="L166" s="3"/>
      <c r="M166" s="3"/>
      <c r="R166" s="14"/>
      <c r="S166" s="1"/>
      <c r="U166" s="1"/>
      <c r="V166" s="1"/>
      <c r="W166" s="1"/>
      <c r="X166" s="1"/>
      <c r="Y166" s="3"/>
    </row>
    <row r="167" spans="2:25" ht="12.75" x14ac:dyDescent="0.35">
      <c r="B167" s="14"/>
      <c r="C167" s="14"/>
      <c r="D167" s="26"/>
      <c r="E167" s="27"/>
      <c r="F167" s="27"/>
      <c r="G167" s="27"/>
      <c r="H167" s="18"/>
      <c r="I167" s="3"/>
      <c r="J167" s="3"/>
      <c r="K167" s="3"/>
      <c r="L167" s="3"/>
      <c r="M167" s="3"/>
      <c r="R167" s="14"/>
      <c r="S167" s="1"/>
      <c r="U167" s="1"/>
      <c r="V167" s="1"/>
      <c r="W167" s="1"/>
      <c r="X167" s="1"/>
      <c r="Y167" s="3"/>
    </row>
    <row r="168" spans="2:25" ht="12.75" x14ac:dyDescent="0.35">
      <c r="B168" s="14"/>
      <c r="C168" s="14"/>
      <c r="D168" s="26"/>
      <c r="E168" s="27"/>
      <c r="F168" s="27"/>
      <c r="G168" s="27"/>
      <c r="H168" s="18"/>
      <c r="I168" s="3"/>
      <c r="J168" s="3"/>
      <c r="K168" s="3"/>
      <c r="L168" s="3"/>
      <c r="M168" s="3"/>
      <c r="R168" s="14"/>
      <c r="S168" s="1"/>
      <c r="U168" s="1"/>
      <c r="V168" s="1"/>
      <c r="W168" s="1"/>
      <c r="X168" s="1"/>
      <c r="Y168" s="3"/>
    </row>
    <row r="169" spans="2:25" ht="12.75" x14ac:dyDescent="0.35">
      <c r="B169" s="14"/>
      <c r="C169" s="14"/>
      <c r="D169" s="26"/>
      <c r="E169" s="27"/>
      <c r="F169" s="27"/>
      <c r="G169" s="27"/>
      <c r="H169" s="18"/>
      <c r="I169" s="3"/>
      <c r="J169" s="3"/>
      <c r="K169" s="3"/>
      <c r="L169" s="3"/>
      <c r="M169" s="3"/>
      <c r="R169" s="14"/>
      <c r="S169" s="1"/>
      <c r="U169" s="1"/>
      <c r="V169" s="1"/>
      <c r="W169" s="1"/>
      <c r="X169" s="1"/>
      <c r="Y169" s="3"/>
    </row>
    <row r="170" spans="2:25" ht="12.75" x14ac:dyDescent="0.35">
      <c r="B170" s="14"/>
      <c r="C170" s="14"/>
      <c r="D170" s="26"/>
      <c r="E170" s="27"/>
      <c r="F170" s="27"/>
      <c r="G170" s="27"/>
      <c r="H170" s="18"/>
      <c r="I170" s="3"/>
      <c r="J170" s="3"/>
      <c r="K170" s="3"/>
      <c r="L170" s="3"/>
      <c r="M170" s="3"/>
      <c r="R170" s="14"/>
      <c r="S170" s="1"/>
      <c r="U170" s="1"/>
      <c r="V170" s="1"/>
      <c r="W170" s="1"/>
      <c r="X170" s="1"/>
      <c r="Y170" s="3"/>
    </row>
    <row r="171" spans="2:25" ht="12.75" x14ac:dyDescent="0.35">
      <c r="B171" s="14"/>
      <c r="C171" s="14"/>
      <c r="D171" s="26"/>
      <c r="E171" s="27"/>
      <c r="F171" s="27"/>
      <c r="G171" s="27"/>
      <c r="H171" s="18"/>
      <c r="I171" s="3"/>
      <c r="J171" s="3"/>
      <c r="K171" s="3"/>
      <c r="L171" s="3"/>
      <c r="M171" s="3"/>
      <c r="R171" s="14"/>
      <c r="S171" s="1"/>
      <c r="U171" s="1"/>
      <c r="V171" s="1"/>
      <c r="W171" s="1"/>
      <c r="X171" s="1"/>
      <c r="Y171" s="3"/>
    </row>
    <row r="172" spans="2:25" ht="12.75" x14ac:dyDescent="0.35">
      <c r="B172" s="14"/>
      <c r="C172" s="14"/>
      <c r="D172" s="26"/>
      <c r="E172" s="27"/>
      <c r="F172" s="27"/>
      <c r="G172" s="27"/>
      <c r="H172" s="18"/>
      <c r="I172" s="3"/>
      <c r="J172" s="3"/>
      <c r="K172" s="3"/>
      <c r="L172" s="3"/>
      <c r="M172" s="3"/>
      <c r="R172" s="14"/>
      <c r="S172" s="1"/>
      <c r="U172" s="1"/>
      <c r="V172" s="1"/>
      <c r="W172" s="1"/>
      <c r="X172" s="1"/>
      <c r="Y172" s="3"/>
    </row>
    <row r="173" spans="2:25" ht="12.75" x14ac:dyDescent="0.35">
      <c r="B173" s="14"/>
      <c r="C173" s="14"/>
      <c r="D173" s="26"/>
      <c r="E173" s="27"/>
      <c r="F173" s="27"/>
      <c r="G173" s="27"/>
      <c r="H173" s="18"/>
      <c r="I173" s="3"/>
      <c r="J173" s="3"/>
      <c r="K173" s="3"/>
      <c r="L173" s="3"/>
      <c r="M173" s="3"/>
      <c r="R173" s="14"/>
      <c r="S173" s="1"/>
      <c r="U173" s="1"/>
      <c r="V173" s="1"/>
      <c r="W173" s="1"/>
      <c r="X173" s="1"/>
      <c r="Y173" s="3"/>
    </row>
    <row r="174" spans="2:25" ht="12.75" x14ac:dyDescent="0.35">
      <c r="B174" s="14"/>
      <c r="C174" s="14"/>
      <c r="D174" s="26"/>
      <c r="E174" s="27"/>
      <c r="F174" s="27"/>
      <c r="G174" s="27"/>
      <c r="H174" s="18"/>
      <c r="I174" s="3"/>
      <c r="J174" s="3"/>
      <c r="K174" s="3"/>
      <c r="L174" s="3"/>
      <c r="M174" s="3"/>
      <c r="R174" s="14"/>
      <c r="S174" s="1"/>
      <c r="U174" s="1"/>
      <c r="V174" s="1"/>
      <c r="W174" s="1"/>
      <c r="X174" s="1"/>
      <c r="Y174" s="3"/>
    </row>
    <row r="175" spans="2:25" ht="12.75" x14ac:dyDescent="0.35">
      <c r="B175" s="14"/>
      <c r="C175" s="14"/>
      <c r="D175" s="26"/>
      <c r="E175" s="27"/>
      <c r="F175" s="27"/>
      <c r="G175" s="27"/>
      <c r="H175" s="18"/>
      <c r="I175" s="3"/>
      <c r="J175" s="3"/>
      <c r="K175" s="3"/>
      <c r="L175" s="3"/>
      <c r="M175" s="3"/>
      <c r="R175" s="14"/>
      <c r="S175" s="1"/>
      <c r="U175" s="1"/>
      <c r="V175" s="1"/>
      <c r="W175" s="1"/>
      <c r="X175" s="1"/>
      <c r="Y175" s="3"/>
    </row>
    <row r="176" spans="2:25" ht="12.75" x14ac:dyDescent="0.35">
      <c r="B176" s="14"/>
      <c r="C176" s="14"/>
      <c r="D176" s="26"/>
      <c r="E176" s="27"/>
      <c r="F176" s="27"/>
      <c r="G176" s="27"/>
      <c r="H176" s="18"/>
      <c r="I176" s="3"/>
      <c r="J176" s="3"/>
      <c r="K176" s="3"/>
      <c r="L176" s="3"/>
      <c r="M176" s="3"/>
      <c r="R176" s="14"/>
      <c r="S176" s="1"/>
      <c r="U176" s="1"/>
      <c r="V176" s="1"/>
      <c r="W176" s="1"/>
      <c r="X176" s="1"/>
      <c r="Y176" s="3"/>
    </row>
    <row r="177" spans="2:25" ht="12.75" x14ac:dyDescent="0.35">
      <c r="B177" s="14"/>
      <c r="C177" s="14"/>
      <c r="D177" s="26"/>
      <c r="E177" s="27"/>
      <c r="F177" s="27"/>
      <c r="G177" s="27"/>
      <c r="H177" s="18"/>
      <c r="I177" s="3"/>
      <c r="J177" s="3"/>
      <c r="K177" s="3"/>
      <c r="L177" s="3"/>
      <c r="M177" s="3"/>
      <c r="R177" s="14"/>
      <c r="S177" s="1"/>
      <c r="U177" s="1"/>
      <c r="V177" s="1"/>
      <c r="W177" s="1"/>
      <c r="X177" s="1"/>
      <c r="Y177" s="3"/>
    </row>
    <row r="178" spans="2:25" ht="12.75" x14ac:dyDescent="0.35">
      <c r="B178" s="14"/>
      <c r="C178" s="14"/>
      <c r="D178" s="26"/>
      <c r="E178" s="27"/>
      <c r="F178" s="27"/>
      <c r="G178" s="27"/>
      <c r="H178" s="18"/>
      <c r="I178" s="3"/>
      <c r="J178" s="3"/>
      <c r="K178" s="3"/>
      <c r="L178" s="3"/>
      <c r="M178" s="3"/>
      <c r="R178" s="14"/>
      <c r="S178" s="1"/>
      <c r="U178" s="1"/>
      <c r="V178" s="1"/>
      <c r="W178" s="1"/>
      <c r="X178" s="1"/>
      <c r="Y178" s="3"/>
    </row>
    <row r="179" spans="2:25" ht="12.75" x14ac:dyDescent="0.35">
      <c r="B179" s="14"/>
      <c r="C179" s="14"/>
      <c r="D179" s="26"/>
      <c r="E179" s="27"/>
      <c r="F179" s="27"/>
      <c r="G179" s="27"/>
      <c r="H179" s="18"/>
      <c r="I179" s="3"/>
      <c r="J179" s="3"/>
      <c r="K179" s="3"/>
      <c r="L179" s="3"/>
      <c r="M179" s="3"/>
      <c r="R179" s="14"/>
      <c r="S179" s="1"/>
      <c r="U179" s="1"/>
      <c r="V179" s="1"/>
      <c r="W179" s="1"/>
      <c r="X179" s="1"/>
      <c r="Y179" s="3"/>
    </row>
    <row r="180" spans="2:25" ht="12.75" x14ac:dyDescent="0.35">
      <c r="B180" s="14"/>
      <c r="C180" s="14"/>
      <c r="D180" s="26"/>
      <c r="E180" s="27"/>
      <c r="F180" s="27"/>
      <c r="G180" s="27"/>
      <c r="H180" s="18"/>
      <c r="I180" s="3"/>
      <c r="J180" s="3"/>
      <c r="K180" s="3"/>
      <c r="L180" s="3"/>
      <c r="M180" s="3"/>
      <c r="R180" s="14"/>
      <c r="S180" s="1"/>
      <c r="U180" s="1"/>
      <c r="V180" s="1"/>
      <c r="W180" s="1"/>
      <c r="X180" s="1"/>
      <c r="Y180" s="3"/>
    </row>
    <row r="181" spans="2:25" ht="12.75" x14ac:dyDescent="0.35">
      <c r="B181" s="14"/>
      <c r="C181" s="14"/>
      <c r="D181" s="26"/>
      <c r="E181" s="27"/>
      <c r="F181" s="27"/>
      <c r="G181" s="27"/>
      <c r="H181" s="18"/>
      <c r="I181" s="3"/>
      <c r="J181" s="3"/>
      <c r="K181" s="3"/>
      <c r="L181" s="3"/>
      <c r="M181" s="3"/>
      <c r="R181" s="14"/>
      <c r="S181" s="1"/>
      <c r="U181" s="1"/>
      <c r="V181" s="1"/>
      <c r="W181" s="1"/>
      <c r="X181" s="1"/>
      <c r="Y181" s="3"/>
    </row>
    <row r="182" spans="2:25" ht="12.75" x14ac:dyDescent="0.35">
      <c r="B182" s="14"/>
      <c r="C182" s="14"/>
      <c r="D182" s="26"/>
      <c r="E182" s="27"/>
      <c r="F182" s="27"/>
      <c r="G182" s="27"/>
      <c r="H182" s="18"/>
      <c r="I182" s="3"/>
      <c r="J182" s="3"/>
      <c r="K182" s="3"/>
      <c r="L182" s="3"/>
      <c r="M182" s="3"/>
      <c r="R182" s="14"/>
      <c r="S182" s="1"/>
      <c r="U182" s="1"/>
      <c r="V182" s="1"/>
      <c r="W182" s="1"/>
      <c r="X182" s="1"/>
      <c r="Y182" s="3"/>
    </row>
    <row r="183" spans="2:25" ht="12.75" x14ac:dyDescent="0.35">
      <c r="B183" s="14"/>
      <c r="C183" s="14"/>
      <c r="D183" s="26"/>
      <c r="E183" s="27"/>
      <c r="F183" s="27"/>
      <c r="G183" s="27"/>
      <c r="H183" s="18"/>
      <c r="I183" s="3"/>
      <c r="J183" s="3"/>
      <c r="K183" s="3"/>
      <c r="L183" s="3"/>
      <c r="M183" s="3"/>
      <c r="R183" s="14"/>
      <c r="S183" s="1"/>
      <c r="U183" s="1"/>
      <c r="V183" s="1"/>
      <c r="W183" s="1"/>
      <c r="X183" s="1"/>
      <c r="Y183" s="3"/>
    </row>
    <row r="184" spans="2:25" ht="12.75" x14ac:dyDescent="0.35">
      <c r="B184" s="14"/>
      <c r="C184" s="14"/>
      <c r="D184" s="26"/>
      <c r="E184" s="27"/>
      <c r="F184" s="27"/>
      <c r="G184" s="27"/>
      <c r="H184" s="18"/>
      <c r="I184" s="3"/>
      <c r="J184" s="3"/>
      <c r="K184" s="3"/>
      <c r="L184" s="3"/>
      <c r="M184" s="3"/>
      <c r="R184" s="14"/>
      <c r="S184" s="1"/>
      <c r="U184" s="1"/>
      <c r="V184" s="1"/>
      <c r="W184" s="1"/>
      <c r="X184" s="1"/>
      <c r="Y184" s="3"/>
    </row>
    <row r="185" spans="2:25" ht="12.75" x14ac:dyDescent="0.35">
      <c r="B185" s="14"/>
      <c r="C185" s="14"/>
      <c r="D185" s="26"/>
      <c r="E185" s="27"/>
      <c r="F185" s="27"/>
      <c r="G185" s="27"/>
      <c r="H185" s="18"/>
      <c r="I185" s="3"/>
      <c r="J185" s="3"/>
      <c r="K185" s="3"/>
      <c r="L185" s="3"/>
      <c r="M185" s="3"/>
      <c r="R185" s="14"/>
      <c r="S185" s="1"/>
      <c r="U185" s="1"/>
      <c r="V185" s="1"/>
      <c r="W185" s="1"/>
      <c r="X185" s="1"/>
      <c r="Y185" s="3"/>
    </row>
    <row r="186" spans="2:25" ht="12.75" x14ac:dyDescent="0.35">
      <c r="B186" s="14"/>
      <c r="C186" s="14"/>
      <c r="D186" s="26"/>
      <c r="E186" s="27"/>
      <c r="F186" s="27"/>
      <c r="G186" s="27"/>
      <c r="H186" s="18"/>
      <c r="I186" s="3"/>
      <c r="J186" s="3"/>
      <c r="K186" s="3"/>
      <c r="L186" s="3"/>
      <c r="M186" s="3"/>
      <c r="R186" s="14"/>
      <c r="S186" s="1"/>
      <c r="U186" s="1"/>
      <c r="V186" s="1"/>
      <c r="W186" s="1"/>
      <c r="X186" s="1"/>
      <c r="Y186" s="3"/>
    </row>
    <row r="187" spans="2:25" ht="12.75" x14ac:dyDescent="0.35">
      <c r="B187" s="14"/>
      <c r="C187" s="14"/>
      <c r="D187" s="26"/>
      <c r="E187" s="27"/>
      <c r="F187" s="27"/>
      <c r="G187" s="27"/>
      <c r="H187" s="18"/>
      <c r="I187" s="3"/>
      <c r="J187" s="3"/>
      <c r="K187" s="3"/>
      <c r="L187" s="3"/>
      <c r="M187" s="3"/>
      <c r="R187" s="14"/>
      <c r="S187" s="1"/>
      <c r="U187" s="1"/>
      <c r="V187" s="1"/>
      <c r="W187" s="1"/>
      <c r="X187" s="1"/>
      <c r="Y187" s="3"/>
    </row>
    <row r="188" spans="2:25" ht="12.75" x14ac:dyDescent="0.35">
      <c r="B188" s="14"/>
      <c r="C188" s="14"/>
      <c r="D188" s="26"/>
      <c r="E188" s="27"/>
      <c r="F188" s="27"/>
      <c r="G188" s="27"/>
      <c r="H188" s="18"/>
      <c r="I188" s="3"/>
      <c r="J188" s="3"/>
      <c r="K188" s="3"/>
      <c r="L188" s="3"/>
      <c r="M188" s="3"/>
      <c r="R188" s="14"/>
      <c r="S188" s="1"/>
      <c r="U188" s="1"/>
      <c r="V188" s="1"/>
      <c r="W188" s="1"/>
      <c r="X188" s="1"/>
      <c r="Y188" s="3"/>
    </row>
    <row r="189" spans="2:25" ht="12.75" x14ac:dyDescent="0.35">
      <c r="B189" s="14"/>
      <c r="C189" s="14"/>
      <c r="D189" s="26"/>
      <c r="E189" s="27"/>
      <c r="F189" s="27"/>
      <c r="G189" s="27"/>
      <c r="H189" s="18"/>
      <c r="I189" s="3"/>
      <c r="J189" s="3"/>
      <c r="K189" s="3"/>
      <c r="L189" s="3"/>
      <c r="M189" s="3"/>
      <c r="R189" s="14"/>
      <c r="S189" s="1"/>
      <c r="U189" s="1"/>
      <c r="V189" s="1"/>
      <c r="W189" s="1"/>
      <c r="X189" s="1"/>
      <c r="Y189" s="3"/>
    </row>
    <row r="190" spans="2:25" ht="12.75" x14ac:dyDescent="0.35">
      <c r="B190" s="14"/>
      <c r="C190" s="14"/>
      <c r="D190" s="26"/>
      <c r="E190" s="27"/>
      <c r="F190" s="27"/>
      <c r="G190" s="27"/>
      <c r="H190" s="18"/>
      <c r="I190" s="3"/>
      <c r="J190" s="3"/>
      <c r="K190" s="3"/>
      <c r="L190" s="3"/>
      <c r="M190" s="3"/>
      <c r="R190" s="14"/>
      <c r="S190" s="1"/>
      <c r="U190" s="1"/>
      <c r="V190" s="1"/>
      <c r="W190" s="1"/>
      <c r="X190" s="1"/>
      <c r="Y190" s="3"/>
    </row>
    <row r="191" spans="2:25" ht="12.75" x14ac:dyDescent="0.35">
      <c r="B191" s="14"/>
      <c r="C191" s="14"/>
      <c r="D191" s="26"/>
      <c r="E191" s="27"/>
      <c r="F191" s="27"/>
      <c r="G191" s="27"/>
      <c r="H191" s="18"/>
      <c r="I191" s="3"/>
      <c r="J191" s="3"/>
      <c r="K191" s="3"/>
      <c r="L191" s="3"/>
      <c r="M191" s="3"/>
      <c r="R191" s="14"/>
      <c r="S191" s="1"/>
      <c r="U191" s="1"/>
      <c r="V191" s="1"/>
      <c r="W191" s="1"/>
      <c r="X191" s="1"/>
      <c r="Y191" s="3"/>
    </row>
    <row r="192" spans="2:25" ht="12.75" x14ac:dyDescent="0.35">
      <c r="B192" s="14"/>
      <c r="C192" s="14"/>
      <c r="D192" s="26"/>
      <c r="E192" s="27"/>
      <c r="F192" s="27"/>
      <c r="G192" s="27"/>
      <c r="H192" s="18"/>
      <c r="I192" s="3"/>
      <c r="J192" s="3"/>
      <c r="K192" s="3"/>
      <c r="L192" s="3"/>
      <c r="M192" s="3"/>
      <c r="R192" s="14"/>
      <c r="S192" s="1"/>
      <c r="U192" s="1"/>
      <c r="V192" s="1"/>
      <c r="W192" s="1"/>
      <c r="X192" s="1"/>
      <c r="Y192" s="3"/>
    </row>
    <row r="193" spans="2:25" ht="12.75" x14ac:dyDescent="0.35">
      <c r="B193" s="14"/>
      <c r="C193" s="14"/>
      <c r="D193" s="26"/>
      <c r="E193" s="27"/>
      <c r="F193" s="27"/>
      <c r="G193" s="27"/>
      <c r="H193" s="18"/>
      <c r="I193" s="3"/>
      <c r="J193" s="3"/>
      <c r="K193" s="3"/>
      <c r="L193" s="3"/>
      <c r="M193" s="3"/>
      <c r="R193" s="14"/>
      <c r="S193" s="1"/>
      <c r="U193" s="1"/>
      <c r="V193" s="1"/>
      <c r="W193" s="1"/>
      <c r="X193" s="1"/>
      <c r="Y193" s="3"/>
    </row>
    <row r="194" spans="2:25" ht="12.75" x14ac:dyDescent="0.35">
      <c r="B194" s="14"/>
      <c r="C194" s="14"/>
      <c r="D194" s="26"/>
      <c r="E194" s="27"/>
      <c r="F194" s="27"/>
      <c r="G194" s="27"/>
      <c r="H194" s="18"/>
      <c r="I194" s="3"/>
      <c r="J194" s="3"/>
      <c r="K194" s="3"/>
      <c r="L194" s="3"/>
      <c r="M194" s="3"/>
      <c r="R194" s="14"/>
      <c r="S194" s="1"/>
      <c r="U194" s="1"/>
      <c r="V194" s="1"/>
      <c r="W194" s="1"/>
      <c r="X194" s="1"/>
      <c r="Y194" s="3"/>
    </row>
    <row r="195" spans="2:25" ht="12.75" x14ac:dyDescent="0.35">
      <c r="B195" s="14"/>
      <c r="C195" s="14"/>
      <c r="D195" s="26"/>
      <c r="E195" s="27"/>
      <c r="F195" s="27"/>
      <c r="G195" s="27"/>
      <c r="H195" s="18"/>
      <c r="I195" s="3"/>
      <c r="J195" s="3"/>
      <c r="K195" s="3"/>
      <c r="L195" s="3"/>
      <c r="M195" s="3"/>
      <c r="R195" s="14"/>
      <c r="S195" s="1"/>
      <c r="U195" s="1"/>
      <c r="V195" s="1"/>
      <c r="W195" s="1"/>
      <c r="X195" s="1"/>
      <c r="Y195" s="3"/>
    </row>
    <row r="196" spans="2:25" ht="12.75" x14ac:dyDescent="0.35">
      <c r="B196" s="14"/>
      <c r="C196" s="14"/>
      <c r="D196" s="26"/>
      <c r="E196" s="27"/>
      <c r="F196" s="27"/>
      <c r="G196" s="27"/>
      <c r="H196" s="18"/>
      <c r="I196" s="3"/>
      <c r="J196" s="3"/>
      <c r="K196" s="3"/>
      <c r="L196" s="3"/>
      <c r="M196" s="3"/>
      <c r="R196" s="14"/>
      <c r="S196" s="1"/>
      <c r="U196" s="1"/>
      <c r="V196" s="1"/>
      <c r="W196" s="1"/>
      <c r="X196" s="1"/>
      <c r="Y196" s="3"/>
    </row>
    <row r="197" spans="2:25" ht="12.75" x14ac:dyDescent="0.35">
      <c r="B197" s="14"/>
      <c r="C197" s="14"/>
      <c r="D197" s="26"/>
      <c r="E197" s="27"/>
      <c r="F197" s="27"/>
      <c r="G197" s="27"/>
      <c r="H197" s="18"/>
      <c r="I197" s="3"/>
      <c r="J197" s="3"/>
      <c r="K197" s="3"/>
      <c r="L197" s="3"/>
      <c r="M197" s="3"/>
      <c r="R197" s="14"/>
      <c r="S197" s="1"/>
      <c r="U197" s="1"/>
      <c r="V197" s="1"/>
      <c r="W197" s="1"/>
      <c r="X197" s="1"/>
      <c r="Y197" s="3"/>
    </row>
    <row r="198" spans="2:25" ht="12.75" x14ac:dyDescent="0.35">
      <c r="B198" s="14"/>
      <c r="C198" s="14"/>
      <c r="D198" s="26"/>
      <c r="E198" s="27"/>
      <c r="F198" s="27"/>
      <c r="G198" s="27"/>
      <c r="H198" s="18"/>
      <c r="I198" s="3"/>
      <c r="J198" s="3"/>
      <c r="K198" s="3"/>
      <c r="L198" s="3"/>
      <c r="M198" s="3"/>
      <c r="R198" s="14"/>
      <c r="S198" s="1"/>
      <c r="U198" s="1"/>
      <c r="V198" s="1"/>
      <c r="W198" s="1"/>
      <c r="X198" s="1"/>
      <c r="Y198" s="3"/>
    </row>
    <row r="199" spans="2:25" ht="12.75" x14ac:dyDescent="0.35">
      <c r="B199" s="14"/>
      <c r="C199" s="14"/>
      <c r="D199" s="26"/>
      <c r="E199" s="27"/>
      <c r="F199" s="27"/>
      <c r="G199" s="27"/>
      <c r="H199" s="18"/>
      <c r="I199" s="3"/>
      <c r="J199" s="3"/>
      <c r="K199" s="3"/>
      <c r="L199" s="3"/>
      <c r="M199" s="3"/>
      <c r="R199" s="14"/>
      <c r="S199" s="1"/>
      <c r="U199" s="1"/>
      <c r="V199" s="1"/>
      <c r="W199" s="1"/>
      <c r="X199" s="1"/>
      <c r="Y199" s="3"/>
    </row>
    <row r="200" spans="2:25" ht="12.75" x14ac:dyDescent="0.35">
      <c r="B200" s="14"/>
      <c r="C200" s="14"/>
      <c r="D200" s="26"/>
      <c r="E200" s="27"/>
      <c r="F200" s="27"/>
      <c r="G200" s="27"/>
      <c r="H200" s="18"/>
      <c r="I200" s="3"/>
      <c r="J200" s="3"/>
      <c r="K200" s="3"/>
      <c r="L200" s="3"/>
      <c r="M200" s="3"/>
      <c r="R200" s="14"/>
      <c r="S200" s="1"/>
      <c r="U200" s="1"/>
      <c r="V200" s="1"/>
      <c r="W200" s="1"/>
      <c r="X200" s="1"/>
      <c r="Y200" s="3"/>
    </row>
    <row r="201" spans="2:25" ht="12.75" x14ac:dyDescent="0.35">
      <c r="B201" s="14"/>
      <c r="C201" s="14"/>
      <c r="D201" s="26"/>
      <c r="E201" s="27"/>
      <c r="F201" s="27"/>
      <c r="G201" s="27"/>
      <c r="H201" s="18"/>
      <c r="I201" s="3"/>
      <c r="J201" s="3"/>
      <c r="K201" s="3"/>
      <c r="L201" s="3"/>
      <c r="M201" s="3"/>
      <c r="R201" s="14"/>
      <c r="S201" s="1"/>
      <c r="U201" s="1"/>
      <c r="V201" s="1"/>
      <c r="W201" s="1"/>
      <c r="X201" s="1"/>
      <c r="Y201" s="3"/>
    </row>
    <row r="202" spans="2:25" ht="12.75" x14ac:dyDescent="0.35">
      <c r="B202" s="14"/>
      <c r="C202" s="14"/>
      <c r="D202" s="26"/>
      <c r="E202" s="27"/>
      <c r="F202" s="27"/>
      <c r="G202" s="27"/>
      <c r="H202" s="18"/>
      <c r="I202" s="3"/>
      <c r="J202" s="3"/>
      <c r="K202" s="3"/>
      <c r="L202" s="3"/>
      <c r="M202" s="3"/>
      <c r="R202" s="14"/>
      <c r="S202" s="1"/>
      <c r="U202" s="1"/>
      <c r="V202" s="1"/>
      <c r="W202" s="1"/>
      <c r="X202" s="1"/>
      <c r="Y202" s="3"/>
    </row>
    <row r="203" spans="2:25" ht="12.75" x14ac:dyDescent="0.35">
      <c r="B203" s="14"/>
      <c r="C203" s="14"/>
      <c r="D203" s="26"/>
      <c r="E203" s="27"/>
      <c r="F203" s="27"/>
      <c r="G203" s="27"/>
      <c r="H203" s="18"/>
      <c r="I203" s="3"/>
      <c r="J203" s="3"/>
      <c r="K203" s="3"/>
      <c r="L203" s="3"/>
      <c r="M203" s="3"/>
      <c r="R203" s="14"/>
      <c r="S203" s="1"/>
      <c r="U203" s="1"/>
      <c r="V203" s="1"/>
      <c r="W203" s="1"/>
      <c r="X203" s="1"/>
      <c r="Y203" s="3"/>
    </row>
    <row r="204" spans="2:25" ht="12.75" x14ac:dyDescent="0.35">
      <c r="B204" s="14"/>
      <c r="C204" s="14"/>
      <c r="D204" s="26"/>
      <c r="E204" s="27"/>
      <c r="F204" s="27"/>
      <c r="G204" s="27"/>
      <c r="H204" s="18"/>
      <c r="I204" s="3"/>
      <c r="J204" s="3"/>
      <c r="K204" s="3"/>
      <c r="L204" s="3"/>
      <c r="M204" s="3"/>
      <c r="R204" s="14"/>
      <c r="S204" s="1"/>
      <c r="U204" s="1"/>
      <c r="V204" s="1"/>
      <c r="W204" s="1"/>
      <c r="X204" s="1"/>
      <c r="Y204" s="3"/>
    </row>
    <row r="205" spans="2:25" ht="12.75" x14ac:dyDescent="0.35">
      <c r="B205" s="14"/>
      <c r="C205" s="14"/>
      <c r="D205" s="26"/>
      <c r="E205" s="27"/>
      <c r="F205" s="27"/>
      <c r="G205" s="27"/>
      <c r="H205" s="18"/>
      <c r="I205" s="3"/>
      <c r="J205" s="3"/>
      <c r="K205" s="3"/>
      <c r="L205" s="3"/>
      <c r="M205" s="3"/>
      <c r="R205" s="14"/>
      <c r="S205" s="1"/>
      <c r="U205" s="1"/>
      <c r="V205" s="1"/>
      <c r="W205" s="1"/>
      <c r="X205" s="1"/>
      <c r="Y205" s="3"/>
    </row>
    <row r="206" spans="2:25" ht="12.75" x14ac:dyDescent="0.35">
      <c r="B206" s="14"/>
      <c r="C206" s="14"/>
      <c r="D206" s="26"/>
      <c r="E206" s="27"/>
      <c r="F206" s="27"/>
      <c r="G206" s="27"/>
      <c r="H206" s="18"/>
      <c r="I206" s="3"/>
      <c r="J206" s="3"/>
      <c r="K206" s="3"/>
      <c r="L206" s="3"/>
      <c r="M206" s="3"/>
      <c r="R206" s="14"/>
      <c r="S206" s="1"/>
      <c r="U206" s="1"/>
      <c r="V206" s="1"/>
      <c r="W206" s="1"/>
      <c r="X206" s="1"/>
      <c r="Y206" s="3"/>
    </row>
    <row r="207" spans="2:25" ht="12.75" x14ac:dyDescent="0.35">
      <c r="B207" s="14"/>
      <c r="C207" s="14"/>
      <c r="D207" s="26"/>
      <c r="E207" s="27"/>
      <c r="F207" s="27"/>
      <c r="G207" s="27"/>
      <c r="H207" s="18"/>
      <c r="I207" s="3"/>
      <c r="J207" s="3"/>
      <c r="K207" s="3"/>
      <c r="L207" s="3"/>
      <c r="M207" s="3"/>
      <c r="R207" s="14"/>
      <c r="S207" s="1"/>
      <c r="U207" s="1"/>
      <c r="V207" s="1"/>
      <c r="W207" s="1"/>
      <c r="X207" s="1"/>
      <c r="Y207" s="3"/>
    </row>
    <row r="208" spans="2:25" ht="12.75" x14ac:dyDescent="0.35">
      <c r="B208" s="14"/>
      <c r="C208" s="14"/>
      <c r="D208" s="26"/>
      <c r="E208" s="27"/>
      <c r="F208" s="27"/>
      <c r="G208" s="27"/>
      <c r="H208" s="18"/>
      <c r="I208" s="3"/>
      <c r="J208" s="3"/>
      <c r="K208" s="3"/>
      <c r="L208" s="3"/>
      <c r="M208" s="3"/>
      <c r="R208" s="14"/>
      <c r="S208" s="1"/>
      <c r="U208" s="1"/>
      <c r="V208" s="1"/>
      <c r="W208" s="1"/>
      <c r="X208" s="1"/>
      <c r="Y208" s="3"/>
    </row>
    <row r="209" spans="2:25" ht="12.75" x14ac:dyDescent="0.35">
      <c r="B209" s="14"/>
      <c r="C209" s="14"/>
      <c r="D209" s="26"/>
      <c r="E209" s="27"/>
      <c r="F209" s="27"/>
      <c r="G209" s="27"/>
      <c r="H209" s="18"/>
      <c r="I209" s="3"/>
      <c r="J209" s="3"/>
      <c r="K209" s="3"/>
      <c r="L209" s="3"/>
      <c r="M209" s="3"/>
      <c r="R209" s="14"/>
      <c r="S209" s="1"/>
      <c r="U209" s="1"/>
      <c r="V209" s="1"/>
      <c r="W209" s="1"/>
      <c r="X209" s="1"/>
      <c r="Y209" s="3"/>
    </row>
    <row r="210" spans="2:25" ht="12.75" x14ac:dyDescent="0.35">
      <c r="B210" s="14"/>
      <c r="C210" s="14"/>
      <c r="D210" s="26"/>
      <c r="E210" s="27"/>
      <c r="F210" s="27"/>
      <c r="G210" s="27"/>
      <c r="H210" s="18"/>
      <c r="I210" s="3"/>
      <c r="J210" s="3"/>
      <c r="K210" s="3"/>
      <c r="L210" s="3"/>
      <c r="M210" s="3"/>
      <c r="R210" s="14"/>
      <c r="S210" s="1"/>
      <c r="U210" s="1"/>
      <c r="V210" s="1"/>
      <c r="W210" s="1"/>
      <c r="X210" s="1"/>
      <c r="Y210" s="3"/>
    </row>
    <row r="211" spans="2:25" ht="12.75" x14ac:dyDescent="0.35">
      <c r="B211" s="14"/>
      <c r="C211" s="14"/>
      <c r="D211" s="26"/>
      <c r="E211" s="27"/>
      <c r="F211" s="27"/>
      <c r="G211" s="27"/>
      <c r="H211" s="18"/>
      <c r="I211" s="3"/>
      <c r="J211" s="3"/>
      <c r="K211" s="3"/>
      <c r="L211" s="3"/>
      <c r="M211" s="3"/>
      <c r="R211" s="14"/>
      <c r="S211" s="1"/>
      <c r="U211" s="1"/>
      <c r="V211" s="1"/>
      <c r="W211" s="1"/>
      <c r="X211" s="1"/>
      <c r="Y211" s="3"/>
    </row>
    <row r="212" spans="2:25" ht="12.75" x14ac:dyDescent="0.35">
      <c r="B212" s="14"/>
      <c r="C212" s="14"/>
      <c r="D212" s="26"/>
      <c r="E212" s="27"/>
      <c r="F212" s="27"/>
      <c r="G212" s="27"/>
      <c r="H212" s="18"/>
      <c r="I212" s="3"/>
      <c r="J212" s="3"/>
      <c r="K212" s="3"/>
      <c r="L212" s="3"/>
      <c r="M212" s="3"/>
      <c r="R212" s="14"/>
      <c r="S212" s="1"/>
      <c r="U212" s="1"/>
      <c r="V212" s="1"/>
      <c r="W212" s="1"/>
      <c r="X212" s="1"/>
      <c r="Y212" s="3"/>
    </row>
    <row r="213" spans="2:25" ht="12.75" x14ac:dyDescent="0.35">
      <c r="B213" s="14"/>
      <c r="C213" s="14"/>
      <c r="D213" s="26"/>
      <c r="E213" s="27"/>
      <c r="F213" s="27"/>
      <c r="G213" s="27"/>
      <c r="H213" s="18"/>
      <c r="I213" s="3"/>
      <c r="J213" s="3"/>
      <c r="K213" s="3"/>
      <c r="L213" s="3"/>
      <c r="M213" s="3"/>
      <c r="R213" s="14"/>
      <c r="S213" s="1"/>
      <c r="U213" s="1"/>
      <c r="V213" s="1"/>
      <c r="W213" s="1"/>
      <c r="X213" s="1"/>
      <c r="Y213" s="3"/>
    </row>
    <row r="214" spans="2:25" ht="12.75" x14ac:dyDescent="0.35">
      <c r="B214" s="14"/>
      <c r="C214" s="14"/>
      <c r="D214" s="26"/>
      <c r="E214" s="27"/>
      <c r="F214" s="27"/>
      <c r="G214" s="27"/>
      <c r="H214" s="18"/>
      <c r="I214" s="3"/>
      <c r="J214" s="3"/>
      <c r="K214" s="3"/>
      <c r="L214" s="3"/>
      <c r="M214" s="3"/>
      <c r="R214" s="14"/>
      <c r="S214" s="1"/>
      <c r="U214" s="1"/>
      <c r="V214" s="1"/>
      <c r="W214" s="1"/>
      <c r="X214" s="1"/>
      <c r="Y214" s="3"/>
    </row>
    <row r="215" spans="2:25" ht="12.75" x14ac:dyDescent="0.35">
      <c r="B215" s="14"/>
      <c r="C215" s="14"/>
      <c r="D215" s="26"/>
      <c r="E215" s="27"/>
      <c r="F215" s="27"/>
      <c r="G215" s="27"/>
      <c r="H215" s="18"/>
      <c r="I215" s="3"/>
      <c r="J215" s="3"/>
      <c r="K215" s="3"/>
      <c r="L215" s="3"/>
      <c r="M215" s="3"/>
      <c r="R215" s="14"/>
      <c r="S215" s="1"/>
      <c r="U215" s="1"/>
      <c r="V215" s="1"/>
      <c r="W215" s="1"/>
      <c r="X215" s="1"/>
      <c r="Y215" s="3"/>
    </row>
    <row r="216" spans="2:25" ht="12.75" x14ac:dyDescent="0.35">
      <c r="B216" s="14"/>
      <c r="C216" s="14"/>
      <c r="D216" s="26"/>
      <c r="E216" s="27"/>
      <c r="F216" s="27"/>
      <c r="G216" s="27"/>
      <c r="H216" s="18"/>
      <c r="I216" s="3"/>
      <c r="J216" s="3"/>
      <c r="K216" s="3"/>
      <c r="L216" s="3"/>
      <c r="M216" s="3"/>
      <c r="R216" s="14"/>
      <c r="S216" s="1"/>
      <c r="U216" s="1"/>
      <c r="V216" s="1"/>
      <c r="W216" s="1"/>
      <c r="X216" s="1"/>
      <c r="Y216" s="3"/>
    </row>
    <row r="217" spans="2:25" ht="12.75" x14ac:dyDescent="0.35">
      <c r="B217" s="14"/>
      <c r="C217" s="14"/>
      <c r="D217" s="26"/>
      <c r="E217" s="27"/>
      <c r="F217" s="27"/>
      <c r="G217" s="27"/>
      <c r="H217" s="18"/>
      <c r="I217" s="3"/>
      <c r="J217" s="3"/>
      <c r="K217" s="3"/>
      <c r="L217" s="3"/>
      <c r="M217" s="3"/>
      <c r="R217" s="14"/>
      <c r="S217" s="1"/>
      <c r="U217" s="1"/>
      <c r="V217" s="1"/>
      <c r="W217" s="1"/>
      <c r="X217" s="1"/>
      <c r="Y217" s="3"/>
    </row>
    <row r="218" spans="2:25" ht="12.75" x14ac:dyDescent="0.35">
      <c r="B218" s="14"/>
      <c r="C218" s="14"/>
      <c r="D218" s="26"/>
      <c r="E218" s="27"/>
      <c r="F218" s="27"/>
      <c r="G218" s="27"/>
      <c r="H218" s="18"/>
      <c r="I218" s="3"/>
      <c r="J218" s="3"/>
      <c r="K218" s="3"/>
      <c r="L218" s="3"/>
      <c r="M218" s="3"/>
      <c r="R218" s="14"/>
      <c r="S218" s="1"/>
      <c r="U218" s="1"/>
      <c r="V218" s="1"/>
      <c r="W218" s="1"/>
      <c r="X218" s="1"/>
      <c r="Y218" s="3"/>
    </row>
    <row r="219" spans="2:25" ht="12.75" x14ac:dyDescent="0.35">
      <c r="B219" s="14"/>
      <c r="C219" s="14"/>
      <c r="D219" s="26"/>
      <c r="E219" s="27"/>
      <c r="F219" s="27"/>
      <c r="G219" s="27"/>
      <c r="H219" s="18"/>
      <c r="I219" s="3"/>
      <c r="J219" s="3"/>
      <c r="K219" s="3"/>
      <c r="L219" s="3"/>
      <c r="M219" s="3"/>
      <c r="R219" s="14"/>
      <c r="S219" s="1"/>
      <c r="U219" s="1"/>
      <c r="V219" s="1"/>
      <c r="W219" s="1"/>
      <c r="X219" s="1"/>
      <c r="Y219" s="3"/>
    </row>
    <row r="220" spans="2:25" ht="12.75" x14ac:dyDescent="0.35">
      <c r="B220" s="14"/>
      <c r="C220" s="14"/>
      <c r="D220" s="26"/>
      <c r="E220" s="27"/>
      <c r="F220" s="27"/>
      <c r="G220" s="27"/>
      <c r="H220" s="18"/>
      <c r="I220" s="3"/>
      <c r="J220" s="3"/>
      <c r="K220" s="3"/>
      <c r="L220" s="3"/>
      <c r="M220" s="3"/>
      <c r="R220" s="14"/>
      <c r="S220" s="1"/>
      <c r="U220" s="1"/>
      <c r="V220" s="1"/>
      <c r="W220" s="1"/>
      <c r="X220" s="1"/>
      <c r="Y220" s="3"/>
    </row>
    <row r="221" spans="2:25" ht="12.75" x14ac:dyDescent="0.35">
      <c r="B221" s="14"/>
      <c r="C221" s="14"/>
      <c r="D221" s="26"/>
      <c r="E221" s="27"/>
      <c r="F221" s="27"/>
      <c r="G221" s="27"/>
      <c r="H221" s="18"/>
      <c r="I221" s="3"/>
      <c r="J221" s="3"/>
      <c r="K221" s="3"/>
      <c r="L221" s="3"/>
      <c r="M221" s="3"/>
      <c r="R221" s="14"/>
      <c r="S221" s="1"/>
      <c r="U221" s="1"/>
      <c r="V221" s="1"/>
      <c r="W221" s="1"/>
      <c r="X221" s="1"/>
      <c r="Y221" s="3"/>
    </row>
    <row r="222" spans="2:25" ht="12.75" x14ac:dyDescent="0.35">
      <c r="B222" s="14"/>
      <c r="C222" s="14"/>
      <c r="D222" s="26"/>
      <c r="E222" s="27"/>
      <c r="F222" s="27"/>
      <c r="G222" s="27"/>
      <c r="H222" s="18"/>
      <c r="I222" s="3"/>
      <c r="J222" s="3"/>
      <c r="K222" s="3"/>
      <c r="L222" s="3"/>
      <c r="M222" s="3"/>
      <c r="R222" s="14"/>
      <c r="S222" s="1"/>
      <c r="U222" s="1"/>
      <c r="V222" s="1"/>
      <c r="W222" s="1"/>
      <c r="X222" s="1"/>
      <c r="Y222" s="3"/>
    </row>
    <row r="223" spans="2:25" ht="12.75" x14ac:dyDescent="0.35">
      <c r="B223" s="14"/>
      <c r="C223" s="14"/>
      <c r="D223" s="26"/>
      <c r="E223" s="27"/>
      <c r="F223" s="27"/>
      <c r="G223" s="27"/>
      <c r="H223" s="18"/>
      <c r="I223" s="3"/>
      <c r="J223" s="3"/>
      <c r="K223" s="3"/>
      <c r="L223" s="3"/>
      <c r="M223" s="3"/>
      <c r="R223" s="14"/>
      <c r="S223" s="1"/>
      <c r="U223" s="1"/>
      <c r="V223" s="1"/>
      <c r="W223" s="1"/>
      <c r="X223" s="1"/>
      <c r="Y223" s="3"/>
    </row>
    <row r="224" spans="2:25" ht="12.75" x14ac:dyDescent="0.35">
      <c r="B224" s="14"/>
      <c r="C224" s="14"/>
      <c r="D224" s="26"/>
      <c r="E224" s="27"/>
      <c r="F224" s="27"/>
      <c r="G224" s="27"/>
      <c r="H224" s="18"/>
      <c r="I224" s="3"/>
      <c r="J224" s="3"/>
      <c r="K224" s="3"/>
      <c r="L224" s="3"/>
      <c r="M224" s="3"/>
      <c r="R224" s="14"/>
      <c r="S224" s="1"/>
      <c r="U224" s="1"/>
      <c r="V224" s="1"/>
      <c r="W224" s="1"/>
      <c r="X224" s="1"/>
      <c r="Y224" s="3"/>
    </row>
    <row r="225" spans="2:25" ht="12.75" x14ac:dyDescent="0.35">
      <c r="B225" s="14"/>
      <c r="C225" s="14"/>
      <c r="D225" s="26"/>
      <c r="E225" s="27"/>
      <c r="F225" s="27"/>
      <c r="G225" s="27"/>
      <c r="H225" s="18"/>
      <c r="I225" s="3"/>
      <c r="J225" s="3"/>
      <c r="K225" s="3"/>
      <c r="L225" s="3"/>
      <c r="M225" s="3"/>
      <c r="R225" s="14"/>
      <c r="S225" s="1"/>
      <c r="U225" s="1"/>
      <c r="V225" s="1"/>
      <c r="W225" s="1"/>
      <c r="X225" s="1"/>
      <c r="Y225" s="3"/>
    </row>
    <row r="226" spans="2:25" ht="12.75" x14ac:dyDescent="0.35">
      <c r="B226" s="14"/>
      <c r="C226" s="14"/>
      <c r="D226" s="26"/>
      <c r="E226" s="27"/>
      <c r="F226" s="27"/>
      <c r="G226" s="27"/>
      <c r="H226" s="18"/>
      <c r="I226" s="3"/>
      <c r="J226" s="3"/>
      <c r="K226" s="3"/>
      <c r="L226" s="3"/>
      <c r="M226" s="3"/>
      <c r="R226" s="14"/>
      <c r="S226" s="1"/>
      <c r="U226" s="1"/>
      <c r="V226" s="1"/>
      <c r="W226" s="1"/>
      <c r="X226" s="1"/>
      <c r="Y226" s="3"/>
    </row>
    <row r="227" spans="2:25" ht="12.75" x14ac:dyDescent="0.35">
      <c r="B227" s="14"/>
      <c r="C227" s="14"/>
      <c r="D227" s="26"/>
      <c r="E227" s="27"/>
      <c r="F227" s="27"/>
      <c r="G227" s="27"/>
      <c r="H227" s="18"/>
      <c r="I227" s="3"/>
      <c r="J227" s="3"/>
      <c r="K227" s="3"/>
      <c r="L227" s="3"/>
      <c r="M227" s="3"/>
      <c r="R227" s="14"/>
      <c r="S227" s="1"/>
      <c r="U227" s="1"/>
      <c r="V227" s="1"/>
      <c r="W227" s="1"/>
      <c r="X227" s="1"/>
      <c r="Y227" s="3"/>
    </row>
    <row r="228" spans="2:25" ht="12.75" x14ac:dyDescent="0.35">
      <c r="B228" s="14"/>
      <c r="C228" s="14"/>
      <c r="D228" s="26"/>
      <c r="E228" s="27"/>
      <c r="F228" s="27"/>
      <c r="G228" s="27"/>
      <c r="H228" s="18"/>
      <c r="I228" s="3"/>
      <c r="J228" s="3"/>
      <c r="K228" s="3"/>
      <c r="L228" s="3"/>
      <c r="M228" s="3"/>
      <c r="R228" s="14"/>
      <c r="S228" s="1"/>
      <c r="U228" s="1"/>
      <c r="V228" s="1"/>
      <c r="W228" s="1"/>
      <c r="X228" s="1"/>
      <c r="Y228" s="3"/>
    </row>
    <row r="229" spans="2:25" ht="12.75" x14ac:dyDescent="0.35">
      <c r="B229" s="14"/>
      <c r="C229" s="14"/>
      <c r="D229" s="26"/>
      <c r="E229" s="27"/>
      <c r="F229" s="27"/>
      <c r="G229" s="27"/>
      <c r="H229" s="18"/>
      <c r="I229" s="3"/>
      <c r="J229" s="3"/>
      <c r="K229" s="3"/>
      <c r="L229" s="3"/>
      <c r="M229" s="3"/>
      <c r="R229" s="14"/>
      <c r="S229" s="1"/>
      <c r="U229" s="1"/>
      <c r="V229" s="1"/>
      <c r="W229" s="1"/>
      <c r="X229" s="1"/>
      <c r="Y229" s="3"/>
    </row>
    <row r="230" spans="2:25" ht="12.75" x14ac:dyDescent="0.35">
      <c r="B230" s="14"/>
      <c r="C230" s="14"/>
      <c r="D230" s="26"/>
      <c r="E230" s="27"/>
      <c r="F230" s="27"/>
      <c r="G230" s="27"/>
      <c r="H230" s="18"/>
      <c r="I230" s="3"/>
      <c r="J230" s="3"/>
      <c r="K230" s="3"/>
      <c r="L230" s="3"/>
      <c r="M230" s="3"/>
      <c r="R230" s="14"/>
      <c r="S230" s="1"/>
      <c r="U230" s="1"/>
      <c r="V230" s="1"/>
      <c r="W230" s="1"/>
      <c r="X230" s="1"/>
      <c r="Y230" s="3"/>
    </row>
    <row r="231" spans="2:25" ht="12.75" x14ac:dyDescent="0.35">
      <c r="B231" s="14"/>
      <c r="C231" s="14"/>
      <c r="D231" s="26"/>
      <c r="E231" s="27"/>
      <c r="F231" s="27"/>
      <c r="G231" s="27"/>
      <c r="H231" s="18"/>
      <c r="I231" s="3"/>
      <c r="J231" s="3"/>
      <c r="K231" s="3"/>
      <c r="L231" s="3"/>
      <c r="M231" s="3"/>
      <c r="R231" s="14"/>
      <c r="S231" s="1"/>
      <c r="U231" s="1"/>
      <c r="V231" s="1"/>
      <c r="W231" s="1"/>
      <c r="X231" s="1"/>
      <c r="Y231" s="3"/>
    </row>
    <row r="232" spans="2:25" ht="12.75" x14ac:dyDescent="0.35">
      <c r="B232" s="14"/>
      <c r="C232" s="14"/>
      <c r="D232" s="26"/>
      <c r="E232" s="27"/>
      <c r="F232" s="27"/>
      <c r="G232" s="27"/>
      <c r="H232" s="18"/>
      <c r="I232" s="3"/>
      <c r="J232" s="3"/>
      <c r="K232" s="3"/>
      <c r="L232" s="3"/>
      <c r="M232" s="3"/>
      <c r="R232" s="14"/>
      <c r="S232" s="1"/>
      <c r="U232" s="1"/>
      <c r="V232" s="1"/>
      <c r="W232" s="1"/>
      <c r="X232" s="1"/>
      <c r="Y232" s="3"/>
    </row>
    <row r="233" spans="2:25" ht="12.75" x14ac:dyDescent="0.35">
      <c r="B233" s="14"/>
      <c r="C233" s="14"/>
      <c r="D233" s="26"/>
      <c r="E233" s="27"/>
      <c r="F233" s="27"/>
      <c r="G233" s="27"/>
      <c r="H233" s="18"/>
      <c r="I233" s="3"/>
      <c r="J233" s="3"/>
      <c r="K233" s="3"/>
      <c r="L233" s="3"/>
      <c r="M233" s="3"/>
      <c r="R233" s="14"/>
      <c r="S233" s="1"/>
      <c r="U233" s="1"/>
      <c r="V233" s="1"/>
      <c r="W233" s="1"/>
      <c r="X233" s="1"/>
      <c r="Y233" s="3"/>
    </row>
    <row r="234" spans="2:25" ht="12.75" x14ac:dyDescent="0.35">
      <c r="B234" s="14"/>
      <c r="C234" s="14"/>
      <c r="D234" s="26"/>
      <c r="E234" s="27"/>
      <c r="F234" s="27"/>
      <c r="G234" s="27"/>
      <c r="H234" s="18"/>
      <c r="I234" s="3"/>
      <c r="J234" s="3"/>
      <c r="K234" s="3"/>
      <c r="L234" s="3"/>
      <c r="M234" s="3"/>
      <c r="R234" s="14"/>
      <c r="S234" s="1"/>
      <c r="U234" s="1"/>
      <c r="V234" s="1"/>
      <c r="W234" s="1"/>
      <c r="X234" s="1"/>
      <c r="Y234" s="3"/>
    </row>
    <row r="235" spans="2:25" ht="12.75" x14ac:dyDescent="0.35">
      <c r="B235" s="14"/>
      <c r="C235" s="14"/>
      <c r="D235" s="26"/>
      <c r="E235" s="27"/>
      <c r="F235" s="27"/>
      <c r="G235" s="27"/>
      <c r="H235" s="18"/>
      <c r="I235" s="3"/>
      <c r="J235" s="3"/>
      <c r="K235" s="3"/>
      <c r="L235" s="3"/>
      <c r="M235" s="3"/>
      <c r="R235" s="14"/>
      <c r="S235" s="1"/>
      <c r="U235" s="1"/>
      <c r="V235" s="1"/>
      <c r="W235" s="1"/>
      <c r="X235" s="1"/>
      <c r="Y235" s="3"/>
    </row>
    <row r="236" spans="2:25" ht="12.75" x14ac:dyDescent="0.35">
      <c r="B236" s="14"/>
      <c r="C236" s="14"/>
      <c r="D236" s="26"/>
      <c r="E236" s="27"/>
      <c r="F236" s="27"/>
      <c r="G236" s="27"/>
      <c r="H236" s="18"/>
      <c r="I236" s="3"/>
      <c r="J236" s="3"/>
      <c r="K236" s="3"/>
      <c r="L236" s="3"/>
      <c r="M236" s="3"/>
      <c r="R236" s="14"/>
      <c r="S236" s="1"/>
      <c r="U236" s="1"/>
      <c r="V236" s="1"/>
      <c r="W236" s="1"/>
      <c r="X236" s="1"/>
      <c r="Y236" s="3"/>
    </row>
    <row r="237" spans="2:25" ht="12.75" x14ac:dyDescent="0.35">
      <c r="B237" s="14"/>
      <c r="C237" s="14"/>
      <c r="D237" s="26"/>
      <c r="E237" s="27"/>
      <c r="F237" s="27"/>
      <c r="G237" s="27"/>
      <c r="H237" s="18"/>
      <c r="I237" s="3"/>
      <c r="J237" s="3"/>
      <c r="K237" s="3"/>
      <c r="L237" s="3"/>
      <c r="M237" s="3"/>
      <c r="R237" s="14"/>
      <c r="S237" s="1"/>
      <c r="U237" s="1"/>
      <c r="V237" s="1"/>
      <c r="W237" s="1"/>
      <c r="X237" s="1"/>
      <c r="Y237" s="3"/>
    </row>
    <row r="238" spans="2:25" ht="12.75" x14ac:dyDescent="0.35">
      <c r="B238" s="14"/>
      <c r="C238" s="14"/>
      <c r="D238" s="26"/>
      <c r="E238" s="27"/>
      <c r="F238" s="27"/>
      <c r="G238" s="27"/>
      <c r="H238" s="18"/>
      <c r="I238" s="3"/>
      <c r="J238" s="3"/>
      <c r="K238" s="3"/>
      <c r="L238" s="3"/>
      <c r="M238" s="3"/>
      <c r="R238" s="14"/>
      <c r="S238" s="1"/>
      <c r="U238" s="1"/>
      <c r="V238" s="1"/>
      <c r="W238" s="1"/>
      <c r="X238" s="1"/>
      <c r="Y238" s="3"/>
    </row>
    <row r="239" spans="2:25" ht="12.75" x14ac:dyDescent="0.35">
      <c r="B239" s="14"/>
      <c r="C239" s="14"/>
      <c r="D239" s="26"/>
      <c r="E239" s="27"/>
      <c r="F239" s="27"/>
      <c r="G239" s="27"/>
      <c r="H239" s="18"/>
      <c r="I239" s="3"/>
      <c r="J239" s="3"/>
      <c r="K239" s="3"/>
      <c r="L239" s="3"/>
      <c r="M239" s="3"/>
      <c r="R239" s="14"/>
      <c r="S239" s="1"/>
      <c r="U239" s="1"/>
      <c r="V239" s="1"/>
      <c r="W239" s="1"/>
      <c r="X239" s="1"/>
      <c r="Y239" s="3"/>
    </row>
    <row r="240" spans="2:25" ht="12.75" x14ac:dyDescent="0.35">
      <c r="B240" s="14"/>
      <c r="C240" s="14"/>
      <c r="D240" s="26"/>
      <c r="E240" s="27"/>
      <c r="F240" s="27"/>
      <c r="G240" s="27"/>
      <c r="H240" s="18"/>
      <c r="I240" s="3"/>
      <c r="J240" s="3"/>
      <c r="K240" s="3"/>
      <c r="L240" s="3"/>
      <c r="M240" s="3"/>
      <c r="R240" s="14"/>
      <c r="S240" s="1"/>
      <c r="U240" s="1"/>
      <c r="V240" s="1"/>
      <c r="W240" s="1"/>
      <c r="X240" s="1"/>
      <c r="Y240" s="3"/>
    </row>
    <row r="241" spans="2:25" ht="12.75" x14ac:dyDescent="0.35">
      <c r="B241" s="14"/>
      <c r="C241" s="14"/>
      <c r="D241" s="26"/>
      <c r="E241" s="27"/>
      <c r="F241" s="27"/>
      <c r="G241" s="27"/>
      <c r="H241" s="18"/>
      <c r="I241" s="3"/>
      <c r="J241" s="3"/>
      <c r="K241" s="3"/>
      <c r="L241" s="3"/>
      <c r="M241" s="3"/>
      <c r="R241" s="14"/>
      <c r="S241" s="1"/>
      <c r="U241" s="1"/>
      <c r="V241" s="1"/>
      <c r="W241" s="1"/>
      <c r="X241" s="1"/>
      <c r="Y241" s="3"/>
    </row>
    <row r="242" spans="2:25" ht="12.75" x14ac:dyDescent="0.35">
      <c r="B242" s="14"/>
      <c r="C242" s="14"/>
      <c r="D242" s="26"/>
      <c r="E242" s="27"/>
      <c r="F242" s="27"/>
      <c r="G242" s="27"/>
      <c r="H242" s="18"/>
      <c r="I242" s="3"/>
      <c r="J242" s="3"/>
      <c r="K242" s="3"/>
      <c r="L242" s="3"/>
      <c r="M242" s="3"/>
      <c r="R242" s="14"/>
      <c r="S242" s="1"/>
      <c r="U242" s="1"/>
      <c r="V242" s="1"/>
      <c r="W242" s="1"/>
      <c r="X242" s="1"/>
      <c r="Y242" s="3"/>
    </row>
    <row r="243" spans="2:25" ht="12.75" x14ac:dyDescent="0.35">
      <c r="B243" s="14"/>
      <c r="C243" s="14"/>
      <c r="D243" s="26"/>
      <c r="E243" s="27"/>
      <c r="F243" s="27"/>
      <c r="G243" s="27"/>
      <c r="H243" s="18"/>
      <c r="I243" s="3"/>
      <c r="J243" s="3"/>
      <c r="K243" s="3"/>
      <c r="L243" s="3"/>
      <c r="M243" s="3"/>
      <c r="R243" s="14"/>
      <c r="S243" s="1"/>
      <c r="U243" s="1"/>
      <c r="V243" s="1"/>
      <c r="W243" s="1"/>
      <c r="X243" s="1"/>
      <c r="Y243" s="3"/>
    </row>
    <row r="244" spans="2:25" ht="12.75" x14ac:dyDescent="0.35">
      <c r="B244" s="14"/>
      <c r="C244" s="14"/>
      <c r="D244" s="26"/>
      <c r="E244" s="27"/>
      <c r="F244" s="27"/>
      <c r="G244" s="27"/>
      <c r="H244" s="18"/>
      <c r="I244" s="3"/>
      <c r="J244" s="3"/>
      <c r="K244" s="3"/>
      <c r="L244" s="3"/>
      <c r="M244" s="3"/>
      <c r="R244" s="14"/>
      <c r="S244" s="1"/>
      <c r="U244" s="1"/>
      <c r="V244" s="1"/>
      <c r="W244" s="1"/>
      <c r="X244" s="1"/>
      <c r="Y244" s="3"/>
    </row>
    <row r="245" spans="2:25" ht="12.75" x14ac:dyDescent="0.35">
      <c r="B245" s="14"/>
      <c r="C245" s="14"/>
      <c r="D245" s="26"/>
      <c r="E245" s="27"/>
      <c r="F245" s="27"/>
      <c r="G245" s="27"/>
      <c r="H245" s="18"/>
      <c r="I245" s="3"/>
      <c r="J245" s="3"/>
      <c r="K245" s="3"/>
      <c r="L245" s="3"/>
      <c r="M245" s="3"/>
      <c r="R245" s="14"/>
      <c r="S245" s="1"/>
      <c r="U245" s="1"/>
      <c r="V245" s="1"/>
      <c r="W245" s="1"/>
      <c r="X245" s="1"/>
      <c r="Y245" s="3"/>
    </row>
    <row r="246" spans="2:25" ht="12.75" x14ac:dyDescent="0.35">
      <c r="B246" s="14"/>
      <c r="C246" s="14"/>
      <c r="D246" s="26"/>
      <c r="E246" s="27"/>
      <c r="F246" s="27"/>
      <c r="G246" s="27"/>
      <c r="H246" s="18"/>
      <c r="I246" s="3"/>
      <c r="J246" s="3"/>
      <c r="K246" s="3"/>
      <c r="L246" s="3"/>
      <c r="M246" s="3"/>
      <c r="R246" s="14"/>
      <c r="S246" s="1"/>
      <c r="U246" s="1"/>
      <c r="V246" s="1"/>
      <c r="W246" s="1"/>
      <c r="X246" s="1"/>
      <c r="Y246" s="3"/>
    </row>
    <row r="247" spans="2:25" ht="12.75" x14ac:dyDescent="0.35">
      <c r="B247" s="14"/>
      <c r="C247" s="14"/>
      <c r="D247" s="26"/>
      <c r="E247" s="27"/>
      <c r="F247" s="27"/>
      <c r="G247" s="27"/>
      <c r="H247" s="18"/>
      <c r="I247" s="3"/>
      <c r="J247" s="3"/>
      <c r="K247" s="3"/>
      <c r="L247" s="3"/>
      <c r="M247" s="3"/>
      <c r="R247" s="14"/>
      <c r="S247" s="1"/>
      <c r="U247" s="1"/>
      <c r="V247" s="1"/>
      <c r="W247" s="1"/>
      <c r="X247" s="1"/>
      <c r="Y247" s="3"/>
    </row>
    <row r="248" spans="2:25" ht="12.75" x14ac:dyDescent="0.35">
      <c r="B248" s="14"/>
      <c r="C248" s="14"/>
      <c r="D248" s="26"/>
      <c r="E248" s="27"/>
      <c r="F248" s="27"/>
      <c r="G248" s="27"/>
      <c r="H248" s="18"/>
      <c r="I248" s="3"/>
      <c r="J248" s="3"/>
      <c r="K248" s="3"/>
      <c r="L248" s="3"/>
      <c r="M248" s="3"/>
      <c r="R248" s="14"/>
      <c r="S248" s="1"/>
      <c r="U248" s="1"/>
      <c r="V248" s="1"/>
      <c r="W248" s="1"/>
      <c r="X248" s="1"/>
      <c r="Y248" s="3"/>
    </row>
    <row r="249" spans="2:25" ht="12.75" x14ac:dyDescent="0.35">
      <c r="B249" s="14"/>
      <c r="C249" s="14"/>
      <c r="D249" s="26"/>
      <c r="E249" s="27"/>
      <c r="F249" s="27"/>
      <c r="G249" s="27"/>
      <c r="H249" s="18"/>
      <c r="I249" s="3"/>
      <c r="J249" s="3"/>
      <c r="K249" s="3"/>
      <c r="L249" s="3"/>
      <c r="M249" s="3"/>
      <c r="R249" s="14"/>
      <c r="S249" s="1"/>
      <c r="U249" s="1"/>
      <c r="V249" s="1"/>
      <c r="W249" s="1"/>
      <c r="X249" s="1"/>
      <c r="Y249" s="3"/>
    </row>
    <row r="250" spans="2:25" ht="12.75" x14ac:dyDescent="0.35">
      <c r="B250" s="14"/>
      <c r="C250" s="14"/>
      <c r="D250" s="26"/>
      <c r="E250" s="27"/>
      <c r="F250" s="27"/>
      <c r="G250" s="27"/>
      <c r="H250" s="18"/>
      <c r="I250" s="3"/>
      <c r="J250" s="3"/>
      <c r="K250" s="3"/>
      <c r="L250" s="3"/>
      <c r="M250" s="3"/>
      <c r="R250" s="14"/>
      <c r="S250" s="1"/>
      <c r="U250" s="1"/>
      <c r="V250" s="1"/>
      <c r="W250" s="1"/>
      <c r="X250" s="1"/>
      <c r="Y250" s="3"/>
    </row>
    <row r="251" spans="2:25" ht="12.75" x14ac:dyDescent="0.35">
      <c r="B251" s="14"/>
      <c r="C251" s="14"/>
      <c r="D251" s="26"/>
      <c r="E251" s="27"/>
      <c r="F251" s="27"/>
      <c r="G251" s="27"/>
      <c r="H251" s="18"/>
      <c r="I251" s="3"/>
      <c r="J251" s="3"/>
      <c r="K251" s="3"/>
      <c r="L251" s="3"/>
      <c r="M251" s="3"/>
      <c r="R251" s="14"/>
      <c r="S251" s="1"/>
      <c r="U251" s="1"/>
      <c r="V251" s="1"/>
      <c r="W251" s="1"/>
      <c r="X251" s="1"/>
      <c r="Y251" s="3"/>
    </row>
    <row r="252" spans="2:25" ht="12.75" x14ac:dyDescent="0.35">
      <c r="B252" s="14"/>
      <c r="C252" s="14"/>
      <c r="D252" s="26"/>
      <c r="E252" s="27"/>
      <c r="F252" s="27"/>
      <c r="G252" s="27"/>
      <c r="H252" s="18"/>
      <c r="I252" s="3"/>
      <c r="J252" s="3"/>
      <c r="K252" s="3"/>
      <c r="L252" s="3"/>
      <c r="M252" s="3"/>
      <c r="R252" s="14"/>
      <c r="S252" s="1"/>
      <c r="U252" s="1"/>
      <c r="V252" s="1"/>
      <c r="W252" s="1"/>
      <c r="X252" s="1"/>
      <c r="Y252" s="3"/>
    </row>
    <row r="253" spans="2:25" ht="12.75" x14ac:dyDescent="0.35">
      <c r="B253" s="14"/>
      <c r="C253" s="14"/>
      <c r="D253" s="26"/>
      <c r="E253" s="27"/>
      <c r="F253" s="27"/>
      <c r="G253" s="27"/>
      <c r="H253" s="18"/>
      <c r="I253" s="3"/>
      <c r="J253" s="3"/>
      <c r="K253" s="3"/>
      <c r="L253" s="3"/>
      <c r="M253" s="3"/>
      <c r="R253" s="14"/>
      <c r="S253" s="1"/>
      <c r="U253" s="1"/>
      <c r="V253" s="1"/>
      <c r="W253" s="1"/>
      <c r="X253" s="1"/>
      <c r="Y253" s="3"/>
    </row>
    <row r="254" spans="2:25" ht="12.75" x14ac:dyDescent="0.35">
      <c r="B254" s="14"/>
      <c r="C254" s="14"/>
      <c r="D254" s="26"/>
      <c r="E254" s="27"/>
      <c r="F254" s="27"/>
      <c r="G254" s="27"/>
      <c r="H254" s="18"/>
      <c r="I254" s="3"/>
      <c r="J254" s="3"/>
      <c r="K254" s="3"/>
      <c r="L254" s="3"/>
      <c r="M254" s="3"/>
      <c r="R254" s="14"/>
      <c r="S254" s="1"/>
      <c r="U254" s="1"/>
      <c r="V254" s="1"/>
      <c r="W254" s="1"/>
      <c r="X254" s="1"/>
      <c r="Y254" s="3"/>
    </row>
    <row r="255" spans="2:25" ht="12.75" x14ac:dyDescent="0.35">
      <c r="B255" s="14"/>
      <c r="C255" s="14"/>
      <c r="D255" s="26"/>
      <c r="E255" s="27"/>
      <c r="F255" s="27"/>
      <c r="G255" s="27"/>
      <c r="H255" s="18"/>
      <c r="I255" s="3"/>
      <c r="J255" s="3"/>
      <c r="K255" s="3"/>
      <c r="L255" s="3"/>
      <c r="M255" s="3"/>
      <c r="R255" s="14"/>
      <c r="S255" s="1"/>
      <c r="U255" s="1"/>
      <c r="V255" s="1"/>
      <c r="W255" s="1"/>
      <c r="X255" s="1"/>
      <c r="Y255" s="3"/>
    </row>
    <row r="256" spans="2:25" ht="12.75" x14ac:dyDescent="0.35">
      <c r="B256" s="14"/>
      <c r="C256" s="14"/>
      <c r="D256" s="26"/>
      <c r="E256" s="27"/>
      <c r="F256" s="27"/>
      <c r="G256" s="27"/>
      <c r="H256" s="18"/>
      <c r="I256" s="3"/>
      <c r="J256" s="3"/>
      <c r="K256" s="3"/>
      <c r="L256" s="3"/>
      <c r="M256" s="3"/>
      <c r="R256" s="14"/>
      <c r="S256" s="1"/>
      <c r="U256" s="1"/>
      <c r="V256" s="1"/>
      <c r="W256" s="1"/>
      <c r="X256" s="1"/>
      <c r="Y256" s="3"/>
    </row>
    <row r="257" spans="2:25" ht="12.75" x14ac:dyDescent="0.35">
      <c r="B257" s="14"/>
      <c r="C257" s="14"/>
      <c r="D257" s="26"/>
      <c r="E257" s="27"/>
      <c r="F257" s="27"/>
      <c r="G257" s="27"/>
      <c r="H257" s="18"/>
      <c r="I257" s="3"/>
      <c r="J257" s="3"/>
      <c r="K257" s="3"/>
      <c r="L257" s="3"/>
      <c r="M257" s="3"/>
      <c r="R257" s="14"/>
      <c r="S257" s="1"/>
      <c r="U257" s="1"/>
      <c r="V257" s="1"/>
      <c r="W257" s="1"/>
      <c r="X257" s="1"/>
      <c r="Y257" s="3"/>
    </row>
    <row r="258" spans="2:25" ht="12.75" x14ac:dyDescent="0.35">
      <c r="B258" s="14"/>
      <c r="C258" s="14"/>
      <c r="D258" s="26"/>
      <c r="E258" s="27"/>
      <c r="F258" s="27"/>
      <c r="G258" s="27"/>
      <c r="H258" s="18"/>
      <c r="I258" s="3"/>
      <c r="J258" s="3"/>
      <c r="K258" s="3"/>
      <c r="L258" s="3"/>
      <c r="M258" s="3"/>
      <c r="R258" s="14"/>
      <c r="S258" s="1"/>
      <c r="U258" s="1"/>
      <c r="V258" s="1"/>
      <c r="W258" s="1"/>
      <c r="X258" s="1"/>
      <c r="Y258" s="3"/>
    </row>
    <row r="259" spans="2:25" ht="12.75" x14ac:dyDescent="0.35">
      <c r="B259" s="14"/>
      <c r="C259" s="14"/>
      <c r="D259" s="26"/>
      <c r="E259" s="27"/>
      <c r="F259" s="27"/>
      <c r="G259" s="27"/>
      <c r="H259" s="18"/>
      <c r="I259" s="3"/>
      <c r="J259" s="3"/>
      <c r="K259" s="3"/>
      <c r="L259" s="3"/>
      <c r="M259" s="3"/>
      <c r="R259" s="14"/>
      <c r="S259" s="1"/>
      <c r="U259" s="1"/>
      <c r="V259" s="1"/>
      <c r="W259" s="1"/>
      <c r="X259" s="1"/>
      <c r="Y259" s="3"/>
    </row>
    <row r="260" spans="2:25" ht="12.75" x14ac:dyDescent="0.35">
      <c r="B260" s="14"/>
      <c r="C260" s="14"/>
      <c r="D260" s="26"/>
      <c r="E260" s="27"/>
      <c r="F260" s="27"/>
      <c r="G260" s="27"/>
      <c r="H260" s="18"/>
      <c r="I260" s="3"/>
      <c r="J260" s="3"/>
      <c r="K260" s="3"/>
      <c r="L260" s="3"/>
      <c r="M260" s="3"/>
      <c r="R260" s="14"/>
      <c r="S260" s="1"/>
      <c r="U260" s="1"/>
      <c r="V260" s="1"/>
      <c r="W260" s="1"/>
      <c r="X260" s="1"/>
      <c r="Y260" s="3"/>
    </row>
    <row r="261" spans="2:25" ht="12.75" x14ac:dyDescent="0.35">
      <c r="B261" s="14"/>
      <c r="C261" s="14"/>
      <c r="D261" s="26"/>
      <c r="E261" s="27"/>
      <c r="F261" s="27"/>
      <c r="G261" s="27"/>
      <c r="H261" s="18"/>
      <c r="I261" s="3"/>
      <c r="J261" s="3"/>
      <c r="K261" s="3"/>
      <c r="L261" s="3"/>
      <c r="M261" s="3"/>
      <c r="R261" s="14"/>
      <c r="S261" s="1"/>
      <c r="U261" s="1"/>
      <c r="V261" s="1"/>
      <c r="W261" s="1"/>
      <c r="X261" s="1"/>
      <c r="Y261" s="3"/>
    </row>
    <row r="262" spans="2:25" ht="12.75" x14ac:dyDescent="0.35">
      <c r="B262" s="14"/>
      <c r="C262" s="14"/>
      <c r="D262" s="26"/>
      <c r="E262" s="27"/>
      <c r="F262" s="27"/>
      <c r="G262" s="27"/>
      <c r="H262" s="18"/>
      <c r="I262" s="3"/>
      <c r="J262" s="3"/>
      <c r="K262" s="3"/>
      <c r="L262" s="3"/>
      <c r="M262" s="3"/>
      <c r="R262" s="14"/>
      <c r="S262" s="1"/>
      <c r="U262" s="1"/>
      <c r="V262" s="1"/>
      <c r="W262" s="1"/>
      <c r="X262" s="1"/>
      <c r="Y262" s="3"/>
    </row>
    <row r="263" spans="2:25" ht="12.75" x14ac:dyDescent="0.35">
      <c r="B263" s="14"/>
      <c r="C263" s="14"/>
      <c r="D263" s="26"/>
      <c r="E263" s="27"/>
      <c r="F263" s="27"/>
      <c r="G263" s="27"/>
      <c r="H263" s="18"/>
      <c r="I263" s="3"/>
      <c r="J263" s="3"/>
      <c r="K263" s="3"/>
      <c r="L263" s="3"/>
      <c r="M263" s="3"/>
      <c r="R263" s="14"/>
      <c r="S263" s="1"/>
      <c r="U263" s="1"/>
      <c r="V263" s="1"/>
      <c r="W263" s="1"/>
      <c r="X263" s="1"/>
      <c r="Y263" s="3"/>
    </row>
    <row r="264" spans="2:25" ht="12.75" x14ac:dyDescent="0.35">
      <c r="B264" s="14"/>
      <c r="C264" s="14"/>
      <c r="D264" s="26"/>
      <c r="E264" s="27"/>
      <c r="F264" s="27"/>
      <c r="G264" s="27"/>
      <c r="H264" s="18"/>
      <c r="I264" s="3"/>
      <c r="J264" s="3"/>
      <c r="K264" s="3"/>
      <c r="L264" s="3"/>
      <c r="M264" s="3"/>
      <c r="R264" s="14"/>
      <c r="S264" s="1"/>
      <c r="U264" s="1"/>
      <c r="V264" s="1"/>
      <c r="W264" s="1"/>
      <c r="X264" s="1"/>
      <c r="Y264" s="3"/>
    </row>
    <row r="265" spans="2:25" ht="12.75" x14ac:dyDescent="0.35">
      <c r="B265" s="14"/>
      <c r="C265" s="14"/>
      <c r="D265" s="26"/>
      <c r="E265" s="27"/>
      <c r="F265" s="27"/>
      <c r="G265" s="27"/>
      <c r="H265" s="18"/>
      <c r="I265" s="3"/>
      <c r="J265" s="3"/>
      <c r="K265" s="3"/>
      <c r="L265" s="3"/>
      <c r="M265" s="3"/>
      <c r="R265" s="14"/>
      <c r="S265" s="1"/>
      <c r="U265" s="1"/>
      <c r="V265" s="1"/>
      <c r="W265" s="1"/>
      <c r="X265" s="1"/>
      <c r="Y265" s="3"/>
    </row>
    <row r="266" spans="2:25" ht="12.75" x14ac:dyDescent="0.35">
      <c r="B266" s="14"/>
      <c r="C266" s="14"/>
      <c r="D266" s="26"/>
      <c r="E266" s="27"/>
      <c r="F266" s="27"/>
      <c r="G266" s="27"/>
      <c r="H266" s="18"/>
      <c r="I266" s="3"/>
      <c r="J266" s="3"/>
      <c r="K266" s="3"/>
      <c r="L266" s="3"/>
      <c r="M266" s="3"/>
      <c r="R266" s="14"/>
      <c r="S266" s="1"/>
      <c r="U266" s="1"/>
      <c r="V266" s="1"/>
      <c r="W266" s="1"/>
      <c r="X266" s="1"/>
      <c r="Y266" s="3"/>
    </row>
    <row r="267" spans="2:25" ht="12.75" x14ac:dyDescent="0.35">
      <c r="B267" s="14"/>
      <c r="C267" s="14"/>
      <c r="D267" s="26"/>
      <c r="E267" s="27"/>
      <c r="F267" s="27"/>
      <c r="G267" s="27"/>
      <c r="H267" s="18"/>
      <c r="I267" s="3"/>
      <c r="J267" s="3"/>
      <c r="K267" s="3"/>
      <c r="L267" s="3"/>
      <c r="M267" s="3"/>
      <c r="R267" s="14"/>
      <c r="S267" s="1"/>
      <c r="U267" s="1"/>
      <c r="V267" s="1"/>
      <c r="W267" s="1"/>
      <c r="X267" s="1"/>
      <c r="Y267" s="3"/>
    </row>
    <row r="268" spans="2:25" ht="12.75" x14ac:dyDescent="0.35">
      <c r="B268" s="14"/>
      <c r="C268" s="14"/>
      <c r="D268" s="26"/>
      <c r="E268" s="27"/>
      <c r="F268" s="27"/>
      <c r="G268" s="27"/>
      <c r="H268" s="18"/>
      <c r="I268" s="3"/>
      <c r="J268" s="3"/>
      <c r="K268" s="3"/>
      <c r="L268" s="3"/>
      <c r="M268" s="3"/>
      <c r="R268" s="14"/>
      <c r="S268" s="1"/>
      <c r="U268" s="1"/>
      <c r="V268" s="1"/>
      <c r="W268" s="1"/>
      <c r="X268" s="1"/>
      <c r="Y268" s="3"/>
    </row>
    <row r="269" spans="2:25" ht="12.75" x14ac:dyDescent="0.35">
      <c r="B269" s="14"/>
      <c r="C269" s="14"/>
      <c r="D269" s="26"/>
      <c r="E269" s="27"/>
      <c r="F269" s="27"/>
      <c r="G269" s="27"/>
      <c r="H269" s="18"/>
      <c r="I269" s="3"/>
      <c r="J269" s="3"/>
      <c r="K269" s="3"/>
      <c r="L269" s="3"/>
      <c r="M269" s="3"/>
      <c r="R269" s="14"/>
      <c r="S269" s="1"/>
      <c r="U269" s="1"/>
      <c r="V269" s="1"/>
      <c r="W269" s="1"/>
      <c r="X269" s="1"/>
      <c r="Y269" s="3"/>
    </row>
    <row r="270" spans="2:25" ht="12.75" x14ac:dyDescent="0.35">
      <c r="B270" s="14"/>
      <c r="C270" s="14"/>
      <c r="D270" s="26"/>
      <c r="E270" s="27"/>
      <c r="F270" s="27"/>
      <c r="G270" s="27"/>
      <c r="H270" s="18"/>
      <c r="I270" s="3"/>
      <c r="J270" s="3"/>
      <c r="K270" s="3"/>
      <c r="L270" s="3"/>
      <c r="M270" s="3"/>
      <c r="R270" s="14"/>
      <c r="S270" s="1"/>
      <c r="U270" s="1"/>
      <c r="V270" s="1"/>
      <c r="W270" s="1"/>
      <c r="X270" s="1"/>
      <c r="Y270" s="3"/>
    </row>
    <row r="271" spans="2:25" ht="12.75" x14ac:dyDescent="0.35">
      <c r="B271" s="14"/>
      <c r="C271" s="14"/>
      <c r="D271" s="26"/>
      <c r="E271" s="27"/>
      <c r="F271" s="27"/>
      <c r="G271" s="27"/>
      <c r="H271" s="18"/>
      <c r="I271" s="3"/>
      <c r="J271" s="3"/>
      <c r="K271" s="3"/>
      <c r="L271" s="3"/>
      <c r="M271" s="3"/>
      <c r="R271" s="14"/>
      <c r="S271" s="1"/>
      <c r="U271" s="1"/>
      <c r="V271" s="1"/>
      <c r="W271" s="1"/>
      <c r="X271" s="1"/>
      <c r="Y271" s="3"/>
    </row>
    <row r="272" spans="2:25" ht="12.75" x14ac:dyDescent="0.35">
      <c r="B272" s="14"/>
      <c r="C272" s="14"/>
      <c r="D272" s="26"/>
      <c r="E272" s="27"/>
      <c r="F272" s="27"/>
      <c r="G272" s="27"/>
      <c r="H272" s="18"/>
      <c r="I272" s="3"/>
      <c r="J272" s="3"/>
      <c r="K272" s="3"/>
      <c r="L272" s="3"/>
      <c r="M272" s="3"/>
      <c r="R272" s="14"/>
      <c r="S272" s="1"/>
      <c r="U272" s="1"/>
      <c r="V272" s="1"/>
      <c r="W272" s="1"/>
      <c r="X272" s="1"/>
      <c r="Y272" s="3"/>
    </row>
    <row r="273" spans="2:25" ht="12.75" x14ac:dyDescent="0.35">
      <c r="B273" s="14"/>
      <c r="C273" s="14"/>
      <c r="D273" s="26"/>
      <c r="E273" s="27"/>
      <c r="F273" s="27"/>
      <c r="G273" s="27"/>
      <c r="H273" s="18"/>
      <c r="I273" s="3"/>
      <c r="J273" s="3"/>
      <c r="K273" s="3"/>
      <c r="L273" s="3"/>
      <c r="M273" s="3"/>
      <c r="R273" s="14"/>
      <c r="S273" s="1"/>
      <c r="U273" s="1"/>
      <c r="V273" s="1"/>
      <c r="W273" s="1"/>
      <c r="X273" s="1"/>
      <c r="Y273" s="3"/>
    </row>
    <row r="274" spans="2:25" ht="12.75" x14ac:dyDescent="0.35">
      <c r="B274" s="14"/>
      <c r="C274" s="14"/>
      <c r="D274" s="26"/>
      <c r="E274" s="27"/>
      <c r="F274" s="27"/>
      <c r="G274" s="27"/>
      <c r="H274" s="18"/>
      <c r="I274" s="3"/>
      <c r="J274" s="3"/>
      <c r="K274" s="3"/>
      <c r="L274" s="3"/>
      <c r="M274" s="3"/>
      <c r="R274" s="14"/>
      <c r="S274" s="1"/>
      <c r="U274" s="1"/>
      <c r="V274" s="1"/>
      <c r="W274" s="1"/>
      <c r="X274" s="1"/>
      <c r="Y274" s="3"/>
    </row>
    <row r="275" spans="2:25" ht="12.75" x14ac:dyDescent="0.35">
      <c r="B275" s="14"/>
      <c r="C275" s="14"/>
      <c r="D275" s="26"/>
      <c r="E275" s="27"/>
      <c r="F275" s="27"/>
      <c r="G275" s="27"/>
      <c r="H275" s="18"/>
      <c r="I275" s="3"/>
      <c r="J275" s="3"/>
      <c r="K275" s="3"/>
      <c r="L275" s="3"/>
      <c r="M275" s="3"/>
      <c r="R275" s="14"/>
      <c r="S275" s="1"/>
      <c r="U275" s="1"/>
      <c r="V275" s="1"/>
      <c r="W275" s="1"/>
      <c r="X275" s="1"/>
      <c r="Y275" s="3"/>
    </row>
    <row r="276" spans="2:25" ht="12.75" x14ac:dyDescent="0.35">
      <c r="B276" s="14"/>
      <c r="C276" s="14"/>
      <c r="D276" s="26"/>
      <c r="E276" s="27"/>
      <c r="F276" s="27"/>
      <c r="G276" s="27"/>
      <c r="H276" s="18"/>
      <c r="I276" s="3"/>
      <c r="J276" s="3"/>
      <c r="K276" s="3"/>
      <c r="L276" s="3"/>
      <c r="M276" s="3"/>
      <c r="R276" s="14"/>
      <c r="S276" s="1"/>
      <c r="U276" s="1"/>
      <c r="V276" s="1"/>
      <c r="W276" s="1"/>
      <c r="X276" s="1"/>
      <c r="Y276" s="3"/>
    </row>
    <row r="277" spans="2:25" ht="12.75" x14ac:dyDescent="0.35">
      <c r="B277" s="14"/>
      <c r="C277" s="14"/>
      <c r="D277" s="26"/>
      <c r="E277" s="27"/>
      <c r="F277" s="27"/>
      <c r="G277" s="27"/>
      <c r="H277" s="18"/>
      <c r="I277" s="3"/>
      <c r="J277" s="3"/>
      <c r="K277" s="3"/>
      <c r="L277" s="3"/>
      <c r="M277" s="3"/>
      <c r="R277" s="14"/>
      <c r="S277" s="1"/>
      <c r="U277" s="1"/>
      <c r="V277" s="1"/>
      <c r="W277" s="1"/>
      <c r="X277" s="1"/>
      <c r="Y277" s="3"/>
    </row>
    <row r="278" spans="2:25" ht="12.75" x14ac:dyDescent="0.35">
      <c r="B278" s="14"/>
      <c r="C278" s="14"/>
      <c r="D278" s="26"/>
      <c r="E278" s="27"/>
      <c r="F278" s="27"/>
      <c r="G278" s="27"/>
      <c r="H278" s="18"/>
      <c r="I278" s="3"/>
      <c r="J278" s="3"/>
      <c r="K278" s="3"/>
      <c r="L278" s="3"/>
      <c r="M278" s="3"/>
      <c r="R278" s="14"/>
      <c r="S278" s="1"/>
      <c r="U278" s="1"/>
      <c r="V278" s="1"/>
      <c r="W278" s="1"/>
      <c r="X278" s="1"/>
      <c r="Y278" s="3"/>
    </row>
    <row r="279" spans="2:25" ht="12.75" x14ac:dyDescent="0.35">
      <c r="B279" s="14"/>
      <c r="C279" s="14"/>
      <c r="D279" s="26"/>
      <c r="E279" s="27"/>
      <c r="F279" s="27"/>
      <c r="G279" s="27"/>
      <c r="H279" s="18"/>
      <c r="I279" s="3"/>
      <c r="J279" s="3"/>
      <c r="K279" s="3"/>
      <c r="L279" s="3"/>
      <c r="M279" s="3"/>
      <c r="R279" s="14"/>
      <c r="S279" s="1"/>
      <c r="U279" s="1"/>
      <c r="V279" s="1"/>
      <c r="W279" s="1"/>
      <c r="X279" s="1"/>
      <c r="Y279" s="3"/>
    </row>
    <row r="280" spans="2:25" ht="12.75" x14ac:dyDescent="0.35">
      <c r="B280" s="14"/>
      <c r="C280" s="14"/>
      <c r="D280" s="26"/>
      <c r="E280" s="27"/>
      <c r="F280" s="27"/>
      <c r="G280" s="27"/>
      <c r="H280" s="18"/>
      <c r="I280" s="3"/>
      <c r="J280" s="3"/>
      <c r="K280" s="3"/>
      <c r="L280" s="3"/>
      <c r="M280" s="3"/>
      <c r="R280" s="14"/>
      <c r="S280" s="1"/>
      <c r="U280" s="1"/>
      <c r="V280" s="1"/>
      <c r="W280" s="1"/>
      <c r="X280" s="1"/>
      <c r="Y280" s="3"/>
    </row>
    <row r="281" spans="2:25" ht="12.75" x14ac:dyDescent="0.35">
      <c r="B281" s="14"/>
      <c r="C281" s="14"/>
      <c r="D281" s="26"/>
      <c r="E281" s="27"/>
      <c r="F281" s="27"/>
      <c r="G281" s="27"/>
      <c r="H281" s="18"/>
      <c r="I281" s="3"/>
      <c r="J281" s="3"/>
      <c r="K281" s="3"/>
      <c r="L281" s="3"/>
      <c r="M281" s="3"/>
      <c r="R281" s="14"/>
      <c r="S281" s="1"/>
      <c r="U281" s="1"/>
      <c r="V281" s="1"/>
      <c r="W281" s="1"/>
      <c r="X281" s="1"/>
      <c r="Y281" s="3"/>
    </row>
    <row r="282" spans="2:25" ht="12.75" x14ac:dyDescent="0.35">
      <c r="B282" s="14"/>
      <c r="C282" s="14"/>
      <c r="D282" s="26"/>
      <c r="E282" s="27"/>
      <c r="F282" s="27"/>
      <c r="G282" s="27"/>
      <c r="H282" s="18"/>
      <c r="I282" s="3"/>
      <c r="J282" s="3"/>
      <c r="K282" s="3"/>
      <c r="L282" s="3"/>
      <c r="M282" s="3"/>
      <c r="R282" s="14"/>
      <c r="S282" s="1"/>
      <c r="U282" s="1"/>
      <c r="V282" s="1"/>
      <c r="W282" s="1"/>
      <c r="X282" s="1"/>
      <c r="Y282" s="3"/>
    </row>
    <row r="283" spans="2:25" ht="12.75" x14ac:dyDescent="0.35">
      <c r="B283" s="14"/>
      <c r="C283" s="14"/>
      <c r="D283" s="26"/>
      <c r="E283" s="27"/>
      <c r="F283" s="27"/>
      <c r="G283" s="27"/>
      <c r="H283" s="18"/>
      <c r="I283" s="3"/>
      <c r="J283" s="3"/>
      <c r="K283" s="3"/>
      <c r="L283" s="3"/>
      <c r="M283" s="3"/>
      <c r="R283" s="14"/>
      <c r="S283" s="1"/>
      <c r="U283" s="1"/>
      <c r="V283" s="1"/>
      <c r="W283" s="1"/>
      <c r="X283" s="1"/>
      <c r="Y283" s="3"/>
    </row>
    <row r="284" spans="2:25" ht="12.75" x14ac:dyDescent="0.35">
      <c r="B284" s="14"/>
      <c r="C284" s="14"/>
      <c r="D284" s="26"/>
      <c r="E284" s="27"/>
      <c r="F284" s="27"/>
      <c r="G284" s="27"/>
      <c r="H284" s="18"/>
      <c r="I284" s="3"/>
      <c r="J284" s="3"/>
      <c r="K284" s="3"/>
      <c r="L284" s="3"/>
      <c r="M284" s="3"/>
      <c r="R284" s="14"/>
      <c r="S284" s="1"/>
      <c r="U284" s="1"/>
      <c r="V284" s="1"/>
      <c r="W284" s="1"/>
      <c r="X284" s="1"/>
      <c r="Y284" s="3"/>
    </row>
    <row r="285" spans="2:25" ht="12.75" x14ac:dyDescent="0.35">
      <c r="B285" s="14"/>
      <c r="C285" s="14"/>
      <c r="D285" s="26"/>
      <c r="E285" s="27"/>
      <c r="F285" s="27"/>
      <c r="G285" s="27"/>
      <c r="H285" s="18"/>
      <c r="I285" s="3"/>
      <c r="J285" s="3"/>
      <c r="K285" s="3"/>
      <c r="L285" s="3"/>
      <c r="M285" s="3"/>
      <c r="R285" s="14"/>
      <c r="S285" s="1"/>
      <c r="U285" s="1"/>
      <c r="V285" s="1"/>
      <c r="W285" s="1"/>
      <c r="X285" s="1"/>
      <c r="Y285" s="3"/>
    </row>
    <row r="286" spans="2:25" ht="12.75" x14ac:dyDescent="0.35">
      <c r="B286" s="14"/>
      <c r="C286" s="14"/>
      <c r="D286" s="26"/>
      <c r="E286" s="27"/>
      <c r="F286" s="27"/>
      <c r="G286" s="27"/>
      <c r="H286" s="18"/>
      <c r="I286" s="3"/>
      <c r="J286" s="3"/>
      <c r="K286" s="3"/>
      <c r="L286" s="3"/>
      <c r="M286" s="3"/>
      <c r="R286" s="14"/>
      <c r="S286" s="1"/>
      <c r="U286" s="1"/>
      <c r="V286" s="1"/>
      <c r="W286" s="1"/>
      <c r="X286" s="1"/>
      <c r="Y286" s="3"/>
    </row>
    <row r="287" spans="2:25" ht="12.75" x14ac:dyDescent="0.35">
      <c r="B287" s="14"/>
      <c r="C287" s="14"/>
      <c r="D287" s="26"/>
      <c r="E287" s="27"/>
      <c r="F287" s="27"/>
      <c r="G287" s="27"/>
      <c r="H287" s="18"/>
      <c r="I287" s="3"/>
      <c r="J287" s="3"/>
      <c r="K287" s="3"/>
      <c r="L287" s="3"/>
      <c r="M287" s="3"/>
      <c r="R287" s="14"/>
      <c r="S287" s="1"/>
      <c r="U287" s="1"/>
      <c r="V287" s="1"/>
      <c r="W287" s="1"/>
      <c r="X287" s="1"/>
      <c r="Y287" s="3"/>
    </row>
    <row r="288" spans="2:25" ht="12.75" x14ac:dyDescent="0.35">
      <c r="B288" s="14"/>
      <c r="C288" s="14"/>
      <c r="D288" s="26"/>
      <c r="E288" s="27"/>
      <c r="F288" s="27"/>
      <c r="G288" s="27"/>
      <c r="H288" s="18"/>
      <c r="I288" s="3"/>
      <c r="J288" s="3"/>
      <c r="K288" s="3"/>
      <c r="L288" s="3"/>
      <c r="M288" s="3"/>
      <c r="R288" s="14"/>
      <c r="S288" s="1"/>
      <c r="U288" s="1"/>
      <c r="V288" s="1"/>
      <c r="W288" s="1"/>
      <c r="X288" s="1"/>
      <c r="Y288" s="3"/>
    </row>
    <row r="289" spans="2:25" ht="12.75" x14ac:dyDescent="0.35">
      <c r="B289" s="14"/>
      <c r="C289" s="14"/>
      <c r="D289" s="26"/>
      <c r="E289" s="27"/>
      <c r="F289" s="27"/>
      <c r="G289" s="27"/>
      <c r="H289" s="18"/>
      <c r="I289" s="3"/>
      <c r="J289" s="3"/>
      <c r="K289" s="3"/>
      <c r="L289" s="3"/>
      <c r="M289" s="3"/>
      <c r="R289" s="14"/>
      <c r="S289" s="1"/>
      <c r="U289" s="1"/>
      <c r="V289" s="1"/>
      <c r="W289" s="1"/>
      <c r="X289" s="1"/>
      <c r="Y289" s="3"/>
    </row>
    <row r="290" spans="2:25" ht="12.75" x14ac:dyDescent="0.35">
      <c r="B290" s="14"/>
      <c r="C290" s="14"/>
      <c r="D290" s="26"/>
      <c r="E290" s="27"/>
      <c r="F290" s="27"/>
      <c r="G290" s="27"/>
      <c r="H290" s="18"/>
      <c r="I290" s="3"/>
      <c r="J290" s="3"/>
      <c r="K290" s="3"/>
      <c r="L290" s="3"/>
      <c r="M290" s="3"/>
      <c r="R290" s="14"/>
      <c r="S290" s="1"/>
      <c r="U290" s="1"/>
      <c r="V290" s="1"/>
      <c r="W290" s="1"/>
      <c r="X290" s="1"/>
      <c r="Y290" s="3"/>
    </row>
    <row r="291" spans="2:25" ht="12.75" x14ac:dyDescent="0.35">
      <c r="B291" s="14"/>
      <c r="C291" s="14"/>
      <c r="D291" s="26"/>
      <c r="E291" s="27"/>
      <c r="F291" s="27"/>
      <c r="G291" s="27"/>
      <c r="H291" s="18"/>
      <c r="I291" s="3"/>
      <c r="J291" s="3"/>
      <c r="K291" s="3"/>
      <c r="L291" s="3"/>
      <c r="M291" s="3"/>
      <c r="R291" s="14"/>
      <c r="S291" s="1"/>
      <c r="U291" s="1"/>
      <c r="V291" s="1"/>
      <c r="W291" s="1"/>
      <c r="X291" s="1"/>
      <c r="Y291" s="3"/>
    </row>
    <row r="292" spans="2:25" ht="12.75" x14ac:dyDescent="0.35">
      <c r="B292" s="14"/>
      <c r="C292" s="14"/>
      <c r="D292" s="26"/>
      <c r="E292" s="27"/>
      <c r="F292" s="27"/>
      <c r="G292" s="27"/>
      <c r="H292" s="18"/>
      <c r="I292" s="3"/>
      <c r="J292" s="3"/>
      <c r="K292" s="3"/>
      <c r="L292" s="3"/>
      <c r="M292" s="3"/>
      <c r="R292" s="14"/>
      <c r="S292" s="1"/>
      <c r="U292" s="1"/>
      <c r="V292" s="1"/>
      <c r="W292" s="1"/>
      <c r="X292" s="1"/>
      <c r="Y292" s="3"/>
    </row>
    <row r="293" spans="2:25" ht="12.75" x14ac:dyDescent="0.35">
      <c r="B293" s="14"/>
      <c r="C293" s="14"/>
      <c r="D293" s="26"/>
      <c r="E293" s="27"/>
      <c r="F293" s="27"/>
      <c r="G293" s="27"/>
      <c r="H293" s="18"/>
      <c r="I293" s="3"/>
      <c r="J293" s="3"/>
      <c r="K293" s="3"/>
      <c r="L293" s="3"/>
      <c r="M293" s="3"/>
      <c r="R293" s="14"/>
      <c r="S293" s="1"/>
      <c r="U293" s="1"/>
      <c r="V293" s="1"/>
      <c r="W293" s="1"/>
      <c r="X293" s="1"/>
      <c r="Y293" s="3"/>
    </row>
    <row r="294" spans="2:25" ht="12.75" x14ac:dyDescent="0.35">
      <c r="B294" s="14"/>
      <c r="C294" s="14"/>
      <c r="D294" s="26"/>
      <c r="E294" s="27"/>
      <c r="F294" s="27"/>
      <c r="G294" s="27"/>
      <c r="H294" s="18"/>
      <c r="I294" s="3"/>
      <c r="J294" s="3"/>
      <c r="K294" s="3"/>
      <c r="L294" s="3"/>
      <c r="M294" s="3"/>
      <c r="R294" s="14"/>
      <c r="S294" s="1"/>
      <c r="U294" s="1"/>
      <c r="V294" s="1"/>
      <c r="W294" s="1"/>
      <c r="X294" s="1"/>
      <c r="Y294" s="3"/>
    </row>
    <row r="295" spans="2:25" ht="12.75" x14ac:dyDescent="0.35">
      <c r="I295" s="3"/>
      <c r="J295" s="3"/>
      <c r="K295" s="3"/>
      <c r="L295" s="3"/>
      <c r="M295" s="3"/>
      <c r="Y295" s="3"/>
    </row>
    <row r="296" spans="2:25" ht="12.75" x14ac:dyDescent="0.35">
      <c r="I296" s="3"/>
      <c r="J296" s="3"/>
      <c r="K296" s="3"/>
      <c r="L296" s="3"/>
      <c r="M296" s="3"/>
      <c r="Y296" s="3"/>
    </row>
    <row r="297" spans="2:25" ht="12.75" x14ac:dyDescent="0.35">
      <c r="I297" s="3"/>
      <c r="J297" s="3"/>
      <c r="K297" s="3"/>
      <c r="L297" s="3"/>
      <c r="M297" s="3"/>
      <c r="Y297" s="3"/>
    </row>
    <row r="298" spans="2:25" ht="12.75" x14ac:dyDescent="0.35">
      <c r="I298" s="3"/>
      <c r="J298" s="3"/>
      <c r="K298" s="3"/>
      <c r="L298" s="3"/>
      <c r="M298" s="3"/>
      <c r="Y298" s="3"/>
    </row>
    <row r="299" spans="2:25" ht="12.75" x14ac:dyDescent="0.35">
      <c r="I299" s="3"/>
      <c r="J299" s="3"/>
      <c r="K299" s="3"/>
      <c r="L299" s="3"/>
      <c r="M299" s="3"/>
      <c r="Y299" s="3"/>
    </row>
    <row r="300" spans="2:25" ht="12.75" x14ac:dyDescent="0.35">
      <c r="I300" s="3"/>
      <c r="J300" s="3"/>
      <c r="K300" s="3"/>
      <c r="L300" s="3"/>
      <c r="M300" s="3"/>
      <c r="Y300" s="3"/>
    </row>
    <row r="301" spans="2:25" ht="12.75" x14ac:dyDescent="0.35">
      <c r="I301" s="3"/>
      <c r="J301" s="3"/>
      <c r="K301" s="3"/>
      <c r="L301" s="3"/>
      <c r="M301" s="3"/>
      <c r="Y301" s="3"/>
    </row>
    <row r="302" spans="2:25" ht="12.75" x14ac:dyDescent="0.35">
      <c r="I302" s="3"/>
      <c r="J302" s="3"/>
      <c r="K302" s="3"/>
      <c r="L302" s="3"/>
      <c r="M302" s="3"/>
      <c r="Y302" s="3"/>
    </row>
    <row r="303" spans="2:25" ht="12.75" x14ac:dyDescent="0.35">
      <c r="I303" s="3"/>
      <c r="J303" s="3"/>
      <c r="K303" s="3"/>
      <c r="L303" s="3"/>
      <c r="M303" s="3"/>
      <c r="Y303" s="3"/>
    </row>
    <row r="304" spans="2:25" ht="12.75" x14ac:dyDescent="0.35">
      <c r="I304" s="3"/>
      <c r="J304" s="3"/>
      <c r="K304" s="3"/>
      <c r="L304" s="3"/>
      <c r="M304" s="3"/>
      <c r="Y304" s="3"/>
    </row>
    <row r="305" spans="9:25" ht="12.75" x14ac:dyDescent="0.35">
      <c r="I305" s="3"/>
      <c r="J305" s="3"/>
      <c r="K305" s="3"/>
      <c r="L305" s="3"/>
      <c r="M305" s="3"/>
      <c r="Y305" s="3"/>
    </row>
    <row r="306" spans="9:25" ht="12.75" x14ac:dyDescent="0.35">
      <c r="I306" s="3"/>
      <c r="J306" s="3"/>
      <c r="K306" s="3"/>
      <c r="L306" s="3"/>
      <c r="M306" s="3"/>
      <c r="Y306" s="3"/>
    </row>
    <row r="307" spans="9:25" ht="12.75" x14ac:dyDescent="0.35">
      <c r="I307" s="3"/>
      <c r="J307" s="3"/>
      <c r="K307" s="3"/>
      <c r="L307" s="3"/>
      <c r="M307" s="3"/>
      <c r="Y307" s="3"/>
    </row>
    <row r="308" spans="9:25" ht="12.75" x14ac:dyDescent="0.35">
      <c r="I308" s="3"/>
      <c r="J308" s="3"/>
      <c r="K308" s="3"/>
      <c r="L308" s="3"/>
      <c r="M308" s="3"/>
      <c r="Y308" s="3"/>
    </row>
    <row r="309" spans="9:25" ht="12.75" x14ac:dyDescent="0.35">
      <c r="I309" s="3"/>
      <c r="J309" s="3"/>
      <c r="K309" s="3"/>
      <c r="L309" s="3"/>
      <c r="M309" s="3"/>
      <c r="Y309" s="3"/>
    </row>
    <row r="310" spans="9:25" ht="12.75" x14ac:dyDescent="0.35">
      <c r="I310" s="3"/>
      <c r="J310" s="3"/>
      <c r="K310" s="3"/>
      <c r="L310" s="3"/>
      <c r="M310" s="3"/>
      <c r="Y310" s="3"/>
    </row>
    <row r="311" spans="9:25" ht="12.75" x14ac:dyDescent="0.35">
      <c r="I311" s="3"/>
      <c r="J311" s="3"/>
      <c r="K311" s="3"/>
      <c r="L311" s="3"/>
      <c r="M311" s="3"/>
      <c r="Y311" s="3"/>
    </row>
    <row r="312" spans="9:25" ht="12.75" x14ac:dyDescent="0.35">
      <c r="I312" s="3"/>
      <c r="J312" s="3"/>
      <c r="K312" s="3"/>
      <c r="L312" s="3"/>
      <c r="M312" s="3"/>
      <c r="Y312" s="3"/>
    </row>
    <row r="313" spans="9:25" ht="12.75" x14ac:dyDescent="0.35">
      <c r="I313" s="3"/>
      <c r="J313" s="3"/>
      <c r="K313" s="3"/>
      <c r="L313" s="3"/>
      <c r="M313" s="3"/>
      <c r="Y313" s="3"/>
    </row>
    <row r="314" spans="9:25" ht="12.75" x14ac:dyDescent="0.35">
      <c r="I314" s="3"/>
      <c r="J314" s="3"/>
      <c r="K314" s="3"/>
      <c r="L314" s="3"/>
      <c r="M314" s="3"/>
      <c r="Y314" s="3"/>
    </row>
    <row r="315" spans="9:25" ht="12.75" x14ac:dyDescent="0.35">
      <c r="I315" s="3"/>
      <c r="J315" s="3"/>
      <c r="K315" s="3"/>
      <c r="L315" s="3"/>
      <c r="M315" s="3"/>
      <c r="Y315" s="3"/>
    </row>
    <row r="316" spans="9:25" ht="12.75" x14ac:dyDescent="0.35">
      <c r="I316" s="3"/>
      <c r="J316" s="3"/>
      <c r="K316" s="3"/>
      <c r="L316" s="3"/>
      <c r="M316" s="3"/>
      <c r="Y316" s="3"/>
    </row>
    <row r="317" spans="9:25" ht="12.75" x14ac:dyDescent="0.35">
      <c r="I317" s="3"/>
      <c r="J317" s="3"/>
      <c r="K317" s="3"/>
      <c r="L317" s="3"/>
      <c r="M317" s="3"/>
      <c r="Y317" s="3"/>
    </row>
    <row r="318" spans="9:25" ht="12.75" x14ac:dyDescent="0.35">
      <c r="I318" s="3"/>
      <c r="J318" s="3"/>
      <c r="K318" s="3"/>
      <c r="L318" s="3"/>
      <c r="M318" s="3"/>
      <c r="Y318" s="3"/>
    </row>
    <row r="319" spans="9:25" ht="12.75" x14ac:dyDescent="0.35">
      <c r="I319" s="3"/>
      <c r="J319" s="3"/>
      <c r="K319" s="3"/>
      <c r="L319" s="3"/>
      <c r="M319" s="3"/>
      <c r="Y319" s="3"/>
    </row>
    <row r="320" spans="9:25" ht="12.75" x14ac:dyDescent="0.35">
      <c r="I320" s="3"/>
      <c r="J320" s="3"/>
      <c r="K320" s="3"/>
      <c r="L320" s="3"/>
      <c r="M320" s="3"/>
      <c r="Y320" s="3"/>
    </row>
    <row r="321" spans="9:25" ht="12.75" x14ac:dyDescent="0.35">
      <c r="I321" s="3"/>
      <c r="J321" s="3"/>
      <c r="K321" s="3"/>
      <c r="L321" s="3"/>
      <c r="M321" s="3"/>
      <c r="Y321" s="3"/>
    </row>
    <row r="322" spans="9:25" ht="12.75" x14ac:dyDescent="0.35">
      <c r="I322" s="3"/>
      <c r="J322" s="3"/>
      <c r="K322" s="3"/>
      <c r="L322" s="3"/>
      <c r="M322" s="3"/>
      <c r="Y322" s="3"/>
    </row>
    <row r="323" spans="9:25" ht="12.75" x14ac:dyDescent="0.35">
      <c r="I323" s="3"/>
      <c r="J323" s="3"/>
      <c r="K323" s="3"/>
      <c r="L323" s="3"/>
      <c r="M323" s="3"/>
      <c r="Y323" s="3"/>
    </row>
    <row r="324" spans="9:25" ht="12.75" x14ac:dyDescent="0.35">
      <c r="I324" s="3"/>
      <c r="J324" s="3"/>
      <c r="K324" s="3"/>
      <c r="L324" s="3"/>
      <c r="M324" s="3"/>
      <c r="Y324" s="3"/>
    </row>
    <row r="325" spans="9:25" ht="12.75" x14ac:dyDescent="0.35">
      <c r="I325" s="3"/>
      <c r="J325" s="3"/>
      <c r="K325" s="3"/>
      <c r="L325" s="3"/>
      <c r="M325" s="3"/>
      <c r="Y325" s="3"/>
    </row>
    <row r="326" spans="9:25" ht="12.75" x14ac:dyDescent="0.35">
      <c r="I326" s="3"/>
      <c r="J326" s="3"/>
      <c r="K326" s="3"/>
      <c r="L326" s="3"/>
      <c r="M326" s="3"/>
      <c r="Y326" s="3"/>
    </row>
    <row r="327" spans="9:25" ht="12.75" x14ac:dyDescent="0.35">
      <c r="I327" s="3"/>
      <c r="J327" s="3"/>
      <c r="K327" s="3"/>
      <c r="L327" s="3"/>
      <c r="M327" s="3"/>
      <c r="Y327" s="3"/>
    </row>
    <row r="328" spans="9:25" ht="12.75" x14ac:dyDescent="0.35">
      <c r="I328" s="3"/>
      <c r="J328" s="3"/>
      <c r="K328" s="3"/>
      <c r="L328" s="3"/>
      <c r="M328" s="3"/>
      <c r="Y328" s="3"/>
    </row>
    <row r="329" spans="9:25" ht="12.75" x14ac:dyDescent="0.35">
      <c r="I329" s="3"/>
      <c r="J329" s="3"/>
      <c r="K329" s="3"/>
      <c r="L329" s="3"/>
      <c r="M329" s="3"/>
      <c r="Y329" s="3"/>
    </row>
    <row r="330" spans="9:25" ht="12.75" x14ac:dyDescent="0.35">
      <c r="I330" s="3"/>
      <c r="J330" s="3"/>
      <c r="K330" s="3"/>
      <c r="L330" s="3"/>
      <c r="M330" s="3"/>
      <c r="Y330" s="3"/>
    </row>
    <row r="331" spans="9:25" ht="12.75" x14ac:dyDescent="0.35">
      <c r="I331" s="3"/>
      <c r="J331" s="3"/>
      <c r="K331" s="3"/>
      <c r="L331" s="3"/>
      <c r="M331" s="3"/>
      <c r="Y331" s="3"/>
    </row>
    <row r="332" spans="9:25" ht="12.75" x14ac:dyDescent="0.35">
      <c r="I332" s="3"/>
      <c r="J332" s="3"/>
      <c r="K332" s="3"/>
      <c r="L332" s="3"/>
      <c r="M332" s="3"/>
      <c r="Y332" s="3"/>
    </row>
    <row r="333" spans="9:25" ht="12.75" x14ac:dyDescent="0.35">
      <c r="I333" s="3"/>
      <c r="J333" s="3"/>
      <c r="K333" s="3"/>
      <c r="L333" s="3"/>
      <c r="M333" s="3"/>
      <c r="Y333" s="3"/>
    </row>
    <row r="334" spans="9:25" ht="12.75" x14ac:dyDescent="0.35">
      <c r="I334" s="3"/>
      <c r="J334" s="3"/>
      <c r="K334" s="3"/>
      <c r="L334" s="3"/>
      <c r="M334" s="3"/>
      <c r="Y334" s="3"/>
    </row>
    <row r="335" spans="9:25" ht="12.75" x14ac:dyDescent="0.35">
      <c r="I335" s="3"/>
      <c r="J335" s="3"/>
      <c r="K335" s="3"/>
      <c r="L335" s="3"/>
      <c r="M335" s="3"/>
      <c r="Y335" s="3"/>
    </row>
    <row r="336" spans="9:25" ht="12.75" x14ac:dyDescent="0.35">
      <c r="I336" s="3"/>
      <c r="J336" s="3"/>
      <c r="K336" s="3"/>
      <c r="L336" s="3"/>
      <c r="M336" s="3"/>
      <c r="Y336" s="3"/>
    </row>
    <row r="337" spans="9:25" ht="12.75" x14ac:dyDescent="0.35">
      <c r="I337" s="3"/>
      <c r="J337" s="3"/>
      <c r="K337" s="3"/>
      <c r="L337" s="3"/>
      <c r="M337" s="3"/>
      <c r="Y337" s="3"/>
    </row>
    <row r="338" spans="9:25" ht="12.75" x14ac:dyDescent="0.35">
      <c r="I338" s="3"/>
      <c r="J338" s="3"/>
      <c r="K338" s="3"/>
      <c r="L338" s="3"/>
      <c r="M338" s="3"/>
      <c r="Y338" s="3"/>
    </row>
    <row r="339" spans="9:25" ht="12.75" x14ac:dyDescent="0.35">
      <c r="I339" s="3"/>
      <c r="J339" s="3"/>
      <c r="K339" s="3"/>
      <c r="L339" s="3"/>
      <c r="M339" s="3"/>
      <c r="Y339" s="3"/>
    </row>
    <row r="340" spans="9:25" ht="12.75" x14ac:dyDescent="0.35">
      <c r="I340" s="3"/>
      <c r="J340" s="3"/>
      <c r="K340" s="3"/>
      <c r="L340" s="3"/>
      <c r="M340" s="3"/>
      <c r="Y340" s="3"/>
    </row>
    <row r="341" spans="9:25" ht="12.75" x14ac:dyDescent="0.35">
      <c r="I341" s="3"/>
      <c r="J341" s="3"/>
      <c r="K341" s="3"/>
      <c r="L341" s="3"/>
      <c r="M341" s="3"/>
      <c r="Y341" s="3"/>
    </row>
    <row r="342" spans="9:25" ht="12.75" x14ac:dyDescent="0.35">
      <c r="I342" s="3"/>
      <c r="J342" s="3"/>
      <c r="K342" s="3"/>
      <c r="L342" s="3"/>
      <c r="M342" s="3"/>
      <c r="Y342" s="3"/>
    </row>
    <row r="343" spans="9:25" ht="12.75" x14ac:dyDescent="0.35">
      <c r="I343" s="3"/>
      <c r="J343" s="3"/>
      <c r="K343" s="3"/>
      <c r="L343" s="3"/>
      <c r="M343" s="3"/>
      <c r="Y343" s="3"/>
    </row>
    <row r="344" spans="9:25" ht="12.75" x14ac:dyDescent="0.35">
      <c r="I344" s="3"/>
      <c r="J344" s="3"/>
      <c r="K344" s="3"/>
      <c r="L344" s="3"/>
      <c r="M344" s="3"/>
      <c r="Y344" s="3"/>
    </row>
    <row r="345" spans="9:25" ht="12.75" x14ac:dyDescent="0.35">
      <c r="I345" s="3"/>
      <c r="J345" s="3"/>
      <c r="K345" s="3"/>
      <c r="L345" s="3"/>
      <c r="M345" s="3"/>
      <c r="Y345" s="3"/>
    </row>
    <row r="346" spans="9:25" ht="12.75" x14ac:dyDescent="0.35">
      <c r="I346" s="3"/>
      <c r="J346" s="3"/>
      <c r="K346" s="3"/>
      <c r="L346" s="3"/>
      <c r="M346" s="3"/>
      <c r="Y346" s="3"/>
    </row>
    <row r="347" spans="9:25" ht="12.75" x14ac:dyDescent="0.35">
      <c r="I347" s="3"/>
      <c r="J347" s="3"/>
      <c r="K347" s="3"/>
      <c r="L347" s="3"/>
      <c r="M347" s="3"/>
      <c r="Y347" s="3"/>
    </row>
    <row r="348" spans="9:25" ht="12.75" x14ac:dyDescent="0.35">
      <c r="I348" s="3"/>
      <c r="J348" s="3"/>
      <c r="K348" s="3"/>
      <c r="L348" s="3"/>
      <c r="M348" s="3"/>
      <c r="Y348" s="3"/>
    </row>
    <row r="349" spans="9:25" ht="12.75" x14ac:dyDescent="0.35">
      <c r="I349" s="3"/>
      <c r="J349" s="3"/>
      <c r="K349" s="3"/>
      <c r="L349" s="3"/>
      <c r="M349" s="3"/>
      <c r="Y349" s="3"/>
    </row>
    <row r="350" spans="9:25" ht="12.75" x14ac:dyDescent="0.35">
      <c r="I350" s="3"/>
      <c r="J350" s="3"/>
      <c r="K350" s="3"/>
      <c r="L350" s="3"/>
      <c r="M350" s="3"/>
      <c r="Y350" s="3"/>
    </row>
    <row r="351" spans="9:25" ht="12.75" x14ac:dyDescent="0.35">
      <c r="I351" s="3"/>
      <c r="J351" s="3"/>
      <c r="K351" s="3"/>
      <c r="L351" s="3"/>
      <c r="M351" s="3"/>
      <c r="Y351" s="3"/>
    </row>
    <row r="352" spans="9:25" ht="12.75" x14ac:dyDescent="0.35">
      <c r="I352" s="3"/>
      <c r="J352" s="3"/>
      <c r="K352" s="3"/>
      <c r="L352" s="3"/>
      <c r="M352" s="3"/>
      <c r="Y352" s="3"/>
    </row>
    <row r="353" spans="9:25" ht="12.75" x14ac:dyDescent="0.35">
      <c r="I353" s="3"/>
      <c r="J353" s="3"/>
      <c r="K353" s="3"/>
      <c r="L353" s="3"/>
      <c r="M353" s="3"/>
      <c r="Y353" s="3"/>
    </row>
    <row r="354" spans="9:25" ht="12.75" x14ac:dyDescent="0.35">
      <c r="I354" s="3"/>
      <c r="J354" s="3"/>
      <c r="K354" s="3"/>
      <c r="L354" s="3"/>
      <c r="M354" s="3"/>
      <c r="Y354" s="3"/>
    </row>
    <row r="355" spans="9:25" ht="12.75" x14ac:dyDescent="0.35">
      <c r="I355" s="3"/>
      <c r="J355" s="3"/>
      <c r="K355" s="3"/>
      <c r="L355" s="3"/>
      <c r="M355" s="3"/>
      <c r="Y355" s="3"/>
    </row>
    <row r="356" spans="9:25" ht="12.75" x14ac:dyDescent="0.35">
      <c r="I356" s="3"/>
      <c r="J356" s="3"/>
      <c r="K356" s="3"/>
      <c r="L356" s="3"/>
      <c r="M356" s="3"/>
      <c r="Y356" s="3"/>
    </row>
    <row r="357" spans="9:25" ht="12.75" x14ac:dyDescent="0.35">
      <c r="I357" s="3"/>
      <c r="J357" s="3"/>
      <c r="K357" s="3"/>
      <c r="L357" s="3"/>
      <c r="M357" s="3"/>
      <c r="Y357" s="3"/>
    </row>
    <row r="358" spans="9:25" ht="12.75" x14ac:dyDescent="0.35">
      <c r="I358" s="3"/>
      <c r="J358" s="3"/>
      <c r="K358" s="3"/>
      <c r="L358" s="3"/>
      <c r="M358" s="3"/>
      <c r="Y358" s="3"/>
    </row>
    <row r="359" spans="9:25" ht="12.75" x14ac:dyDescent="0.35">
      <c r="I359" s="3"/>
      <c r="J359" s="3"/>
      <c r="K359" s="3"/>
      <c r="L359" s="3"/>
      <c r="M359" s="3"/>
      <c r="Y359" s="3"/>
    </row>
    <row r="360" spans="9:25" ht="12.75" x14ac:dyDescent="0.35">
      <c r="I360" s="3"/>
      <c r="J360" s="3"/>
      <c r="K360" s="3"/>
      <c r="L360" s="3"/>
      <c r="M360" s="3"/>
      <c r="Y360" s="3"/>
    </row>
    <row r="361" spans="9:25" ht="12.75" x14ac:dyDescent="0.35">
      <c r="I361" s="3"/>
      <c r="J361" s="3"/>
      <c r="K361" s="3"/>
      <c r="L361" s="3"/>
      <c r="M361" s="3"/>
      <c r="Y361" s="3"/>
    </row>
    <row r="362" spans="9:25" ht="12.75" x14ac:dyDescent="0.35">
      <c r="I362" s="3"/>
      <c r="J362" s="3"/>
      <c r="K362" s="3"/>
      <c r="L362" s="3"/>
      <c r="M362" s="3"/>
      <c r="Y362" s="3"/>
    </row>
    <row r="363" spans="9:25" ht="12.75" x14ac:dyDescent="0.35">
      <c r="I363" s="3"/>
      <c r="J363" s="3"/>
      <c r="K363" s="3"/>
      <c r="L363" s="3"/>
      <c r="M363" s="3"/>
      <c r="Y363" s="3"/>
    </row>
    <row r="364" spans="9:25" ht="12.75" x14ac:dyDescent="0.35">
      <c r="I364" s="3"/>
      <c r="J364" s="3"/>
      <c r="K364" s="3"/>
      <c r="L364" s="3"/>
      <c r="M364" s="3"/>
      <c r="Y364" s="3"/>
    </row>
    <row r="365" spans="9:25" ht="12.75" x14ac:dyDescent="0.35">
      <c r="I365" s="3"/>
      <c r="J365" s="3"/>
      <c r="K365" s="3"/>
      <c r="L365" s="3"/>
      <c r="M365" s="3"/>
      <c r="Y365" s="3"/>
    </row>
    <row r="366" spans="9:25" ht="12.75" x14ac:dyDescent="0.35">
      <c r="I366" s="3"/>
      <c r="J366" s="3"/>
      <c r="K366" s="3"/>
      <c r="L366" s="3"/>
      <c r="M366" s="3"/>
      <c r="Y366" s="3"/>
    </row>
    <row r="367" spans="9:25" ht="12.75" x14ac:dyDescent="0.35">
      <c r="I367" s="3"/>
      <c r="J367" s="3"/>
      <c r="K367" s="3"/>
      <c r="L367" s="3"/>
      <c r="M367" s="3"/>
      <c r="Y367" s="3"/>
    </row>
    <row r="368" spans="9:25" ht="12.75" x14ac:dyDescent="0.35">
      <c r="I368" s="3"/>
      <c r="J368" s="3"/>
      <c r="K368" s="3"/>
      <c r="L368" s="3"/>
      <c r="M368" s="3"/>
      <c r="Y368" s="3"/>
    </row>
    <row r="369" spans="9:25" ht="12.75" x14ac:dyDescent="0.35">
      <c r="I369" s="3"/>
      <c r="J369" s="3"/>
      <c r="K369" s="3"/>
      <c r="L369" s="3"/>
      <c r="M369" s="3"/>
      <c r="Y369" s="3"/>
    </row>
    <row r="370" spans="9:25" ht="12.75" x14ac:dyDescent="0.35">
      <c r="I370" s="3"/>
      <c r="J370" s="3"/>
      <c r="K370" s="3"/>
      <c r="L370" s="3"/>
      <c r="M370" s="3"/>
      <c r="Y370" s="3"/>
    </row>
    <row r="371" spans="9:25" ht="12.75" x14ac:dyDescent="0.35">
      <c r="I371" s="3"/>
      <c r="J371" s="3"/>
      <c r="K371" s="3"/>
      <c r="L371" s="3"/>
      <c r="M371" s="3"/>
      <c r="Y371" s="3"/>
    </row>
    <row r="372" spans="9:25" ht="12.75" x14ac:dyDescent="0.35">
      <c r="I372" s="3"/>
      <c r="J372" s="3"/>
      <c r="K372" s="3"/>
      <c r="L372" s="3"/>
      <c r="M372" s="3"/>
      <c r="Y372" s="3"/>
    </row>
    <row r="373" spans="9:25" ht="12.75" x14ac:dyDescent="0.35">
      <c r="I373" s="3"/>
      <c r="J373" s="3"/>
      <c r="K373" s="3"/>
      <c r="L373" s="3"/>
      <c r="M373" s="3"/>
      <c r="Y373" s="3"/>
    </row>
    <row r="374" spans="9:25" ht="12.75" x14ac:dyDescent="0.35">
      <c r="I374" s="3"/>
      <c r="J374" s="3"/>
      <c r="K374" s="3"/>
      <c r="L374" s="3"/>
      <c r="M374" s="3"/>
      <c r="Y374" s="3"/>
    </row>
    <row r="375" spans="9:25" ht="12.75" x14ac:dyDescent="0.35">
      <c r="I375" s="3"/>
      <c r="J375" s="3"/>
      <c r="K375" s="3"/>
      <c r="L375" s="3"/>
      <c r="M375" s="3"/>
      <c r="Y375" s="3"/>
    </row>
    <row r="376" spans="9:25" ht="12.75" x14ac:dyDescent="0.35">
      <c r="I376" s="3"/>
      <c r="J376" s="3"/>
      <c r="K376" s="3"/>
      <c r="L376" s="3"/>
      <c r="M376" s="3"/>
      <c r="Y376" s="3"/>
    </row>
    <row r="377" spans="9:25" ht="12.75" x14ac:dyDescent="0.35">
      <c r="I377" s="3"/>
      <c r="J377" s="3"/>
      <c r="K377" s="3"/>
      <c r="L377" s="3"/>
      <c r="M377" s="3"/>
      <c r="Y377" s="3"/>
    </row>
    <row r="378" spans="9:25" ht="12.75" x14ac:dyDescent="0.35">
      <c r="I378" s="3"/>
      <c r="J378" s="3"/>
      <c r="K378" s="3"/>
      <c r="L378" s="3"/>
      <c r="M378" s="3"/>
      <c r="Y378" s="3"/>
    </row>
    <row r="379" spans="9:25" ht="12.75" x14ac:dyDescent="0.35">
      <c r="I379" s="3"/>
      <c r="J379" s="3"/>
      <c r="K379" s="3"/>
      <c r="L379" s="3"/>
      <c r="M379" s="3"/>
      <c r="Y379" s="3"/>
    </row>
    <row r="380" spans="9:25" ht="12.75" x14ac:dyDescent="0.35">
      <c r="I380" s="3"/>
      <c r="J380" s="3"/>
      <c r="K380" s="3"/>
      <c r="L380" s="3"/>
      <c r="M380" s="3"/>
      <c r="Y380" s="3"/>
    </row>
    <row r="381" spans="9:25" ht="12.75" x14ac:dyDescent="0.35">
      <c r="I381" s="3"/>
      <c r="J381" s="3"/>
      <c r="K381" s="3"/>
      <c r="L381" s="3"/>
      <c r="M381" s="3"/>
      <c r="Y381" s="3"/>
    </row>
    <row r="382" spans="9:25" ht="12.75" x14ac:dyDescent="0.35">
      <c r="I382" s="3"/>
      <c r="J382" s="3"/>
      <c r="K382" s="3"/>
      <c r="L382" s="3"/>
      <c r="M382" s="3"/>
      <c r="Y382" s="3"/>
    </row>
    <row r="383" spans="9:25" ht="12.75" x14ac:dyDescent="0.35">
      <c r="I383" s="3"/>
      <c r="J383" s="3"/>
      <c r="K383" s="3"/>
      <c r="L383" s="3"/>
      <c r="M383" s="3"/>
      <c r="Y383" s="3"/>
    </row>
    <row r="384" spans="9:25" ht="12.75" x14ac:dyDescent="0.35">
      <c r="I384" s="3"/>
      <c r="J384" s="3"/>
      <c r="K384" s="3"/>
      <c r="L384" s="3"/>
      <c r="M384" s="3"/>
      <c r="Y384" s="3"/>
    </row>
    <row r="385" spans="9:25" ht="12.75" x14ac:dyDescent="0.35">
      <c r="I385" s="3"/>
      <c r="J385" s="3"/>
      <c r="K385" s="3"/>
      <c r="L385" s="3"/>
      <c r="M385" s="3"/>
      <c r="Y385" s="3"/>
    </row>
    <row r="386" spans="9:25" ht="12.75" x14ac:dyDescent="0.35">
      <c r="I386" s="3"/>
      <c r="J386" s="3"/>
      <c r="K386" s="3"/>
      <c r="L386" s="3"/>
      <c r="M386" s="3"/>
      <c r="Y386" s="3"/>
    </row>
    <row r="387" spans="9:25" ht="12.75" x14ac:dyDescent="0.35">
      <c r="I387" s="3"/>
      <c r="J387" s="3"/>
      <c r="K387" s="3"/>
      <c r="L387" s="3"/>
      <c r="M387" s="3"/>
      <c r="Y387" s="3"/>
    </row>
    <row r="388" spans="9:25" ht="12.75" x14ac:dyDescent="0.35">
      <c r="I388" s="3"/>
      <c r="J388" s="3"/>
      <c r="K388" s="3"/>
      <c r="L388" s="3"/>
      <c r="M388" s="3"/>
      <c r="Y388" s="3"/>
    </row>
    <row r="389" spans="9:25" ht="12.75" x14ac:dyDescent="0.35">
      <c r="I389" s="3"/>
      <c r="J389" s="3"/>
      <c r="K389" s="3"/>
      <c r="L389" s="3"/>
      <c r="M389" s="3"/>
      <c r="Y389" s="3"/>
    </row>
    <row r="390" spans="9:25" ht="12.75" x14ac:dyDescent="0.35">
      <c r="I390" s="3"/>
      <c r="J390" s="3"/>
      <c r="K390" s="3"/>
      <c r="L390" s="3"/>
      <c r="M390" s="3"/>
      <c r="Y390" s="3"/>
    </row>
    <row r="391" spans="9:25" ht="12.75" x14ac:dyDescent="0.35">
      <c r="I391" s="3"/>
      <c r="J391" s="3"/>
      <c r="K391" s="3"/>
      <c r="L391" s="3"/>
      <c r="M391" s="3"/>
      <c r="Y391" s="3"/>
    </row>
    <row r="392" spans="9:25" ht="12.75" x14ac:dyDescent="0.35">
      <c r="I392" s="3"/>
      <c r="J392" s="3"/>
      <c r="K392" s="3"/>
      <c r="L392" s="3"/>
      <c r="M392" s="3"/>
      <c r="Y392" s="3"/>
    </row>
    <row r="393" spans="9:25" ht="12.75" x14ac:dyDescent="0.35">
      <c r="I393" s="3"/>
      <c r="J393" s="3"/>
      <c r="K393" s="3"/>
      <c r="L393" s="3"/>
      <c r="M393" s="3"/>
      <c r="Y393" s="3"/>
    </row>
    <row r="394" spans="9:25" ht="12.75" x14ac:dyDescent="0.35">
      <c r="I394" s="3"/>
      <c r="J394" s="3"/>
      <c r="K394" s="3"/>
      <c r="L394" s="3"/>
      <c r="M394" s="3"/>
      <c r="Y394" s="3"/>
    </row>
    <row r="395" spans="9:25" ht="12.75" x14ac:dyDescent="0.35">
      <c r="I395" s="3"/>
      <c r="J395" s="3"/>
      <c r="K395" s="3"/>
      <c r="L395" s="3"/>
      <c r="M395" s="3"/>
      <c r="Y395" s="3"/>
    </row>
    <row r="396" spans="9:25" ht="12.75" x14ac:dyDescent="0.35">
      <c r="I396" s="3"/>
      <c r="J396" s="3"/>
      <c r="K396" s="3"/>
      <c r="L396" s="3"/>
      <c r="M396" s="3"/>
      <c r="Y396" s="3"/>
    </row>
    <row r="397" spans="9:25" ht="12.75" x14ac:dyDescent="0.35">
      <c r="I397" s="3"/>
      <c r="J397" s="3"/>
      <c r="K397" s="3"/>
      <c r="L397" s="3"/>
      <c r="M397" s="3"/>
      <c r="Y397" s="3"/>
    </row>
    <row r="398" spans="9:25" ht="12.75" x14ac:dyDescent="0.35">
      <c r="I398" s="3"/>
      <c r="J398" s="3"/>
      <c r="K398" s="3"/>
      <c r="L398" s="3"/>
      <c r="M398" s="3"/>
      <c r="Y398" s="3"/>
    </row>
    <row r="399" spans="9:25" ht="12.75" x14ac:dyDescent="0.35">
      <c r="I399" s="3"/>
      <c r="J399" s="3"/>
      <c r="K399" s="3"/>
      <c r="L399" s="3"/>
      <c r="M399" s="3"/>
      <c r="Y399" s="3"/>
    </row>
    <row r="400" spans="9:25" ht="12.75" x14ac:dyDescent="0.35">
      <c r="I400" s="3"/>
      <c r="J400" s="3"/>
      <c r="K400" s="3"/>
      <c r="L400" s="3"/>
      <c r="M400" s="3"/>
      <c r="Y400" s="3"/>
    </row>
    <row r="401" spans="9:25" ht="12.75" x14ac:dyDescent="0.35">
      <c r="I401" s="3"/>
      <c r="J401" s="3"/>
      <c r="K401" s="3"/>
      <c r="L401" s="3"/>
      <c r="M401" s="3"/>
      <c r="Y401" s="3"/>
    </row>
    <row r="402" spans="9:25" ht="12.75" x14ac:dyDescent="0.35">
      <c r="I402" s="3"/>
      <c r="J402" s="3"/>
      <c r="K402" s="3"/>
      <c r="L402" s="3"/>
      <c r="M402" s="3"/>
      <c r="Y402" s="3"/>
    </row>
    <row r="403" spans="9:25" ht="12.75" x14ac:dyDescent="0.35">
      <c r="I403" s="3"/>
      <c r="J403" s="3"/>
      <c r="K403" s="3"/>
      <c r="L403" s="3"/>
      <c r="M403" s="3"/>
      <c r="Y403" s="3"/>
    </row>
    <row r="404" spans="9:25" ht="12.75" x14ac:dyDescent="0.35">
      <c r="I404" s="3"/>
      <c r="J404" s="3"/>
      <c r="K404" s="3"/>
      <c r="L404" s="3"/>
      <c r="M404" s="3"/>
      <c r="Y404" s="3"/>
    </row>
    <row r="405" spans="9:25" ht="12.75" x14ac:dyDescent="0.35">
      <c r="I405" s="3"/>
      <c r="J405" s="3"/>
      <c r="K405" s="3"/>
      <c r="L405" s="3"/>
      <c r="M405" s="3"/>
      <c r="Y405" s="3"/>
    </row>
    <row r="406" spans="9:25" ht="12.75" x14ac:dyDescent="0.35">
      <c r="I406" s="3"/>
      <c r="J406" s="3"/>
      <c r="K406" s="3"/>
      <c r="L406" s="3"/>
      <c r="M406" s="3"/>
      <c r="Y406" s="3"/>
    </row>
    <row r="407" spans="9:25" ht="12.75" x14ac:dyDescent="0.35">
      <c r="I407" s="3"/>
      <c r="J407" s="3"/>
      <c r="K407" s="3"/>
      <c r="L407" s="3"/>
      <c r="M407" s="3"/>
      <c r="Y407" s="3"/>
    </row>
    <row r="408" spans="9:25" ht="12.75" x14ac:dyDescent="0.35">
      <c r="I408" s="3"/>
      <c r="J408" s="3"/>
      <c r="K408" s="3"/>
      <c r="L408" s="3"/>
      <c r="M408" s="3"/>
      <c r="Y408" s="3"/>
    </row>
    <row r="409" spans="9:25" ht="12.75" x14ac:dyDescent="0.35">
      <c r="I409" s="3"/>
      <c r="J409" s="3"/>
      <c r="K409" s="3"/>
      <c r="L409" s="3"/>
      <c r="M409" s="3"/>
      <c r="Y409" s="3"/>
    </row>
    <row r="410" spans="9:25" ht="12.75" x14ac:dyDescent="0.35">
      <c r="I410" s="3"/>
      <c r="J410" s="3"/>
      <c r="K410" s="3"/>
      <c r="L410" s="3"/>
      <c r="M410" s="3"/>
      <c r="Y410" s="3"/>
    </row>
    <row r="411" spans="9:25" ht="12.75" x14ac:dyDescent="0.35">
      <c r="I411" s="3"/>
      <c r="J411" s="3"/>
      <c r="K411" s="3"/>
      <c r="L411" s="3"/>
      <c r="M411" s="3"/>
      <c r="Y411" s="3"/>
    </row>
    <row r="412" spans="9:25" ht="12.75" x14ac:dyDescent="0.35">
      <c r="I412" s="3"/>
      <c r="J412" s="3"/>
      <c r="K412" s="3"/>
      <c r="L412" s="3"/>
      <c r="M412" s="3"/>
      <c r="Y412" s="3"/>
    </row>
    <row r="413" spans="9:25" ht="12.75" x14ac:dyDescent="0.35">
      <c r="I413" s="3"/>
      <c r="J413" s="3"/>
      <c r="K413" s="3"/>
      <c r="L413" s="3"/>
      <c r="M413" s="3"/>
      <c r="Y413" s="3"/>
    </row>
    <row r="414" spans="9:25" ht="12.75" x14ac:dyDescent="0.35">
      <c r="I414" s="3"/>
      <c r="J414" s="3"/>
      <c r="K414" s="3"/>
      <c r="L414" s="3"/>
      <c r="M414" s="3"/>
      <c r="Y414" s="3"/>
    </row>
    <row r="415" spans="9:25" ht="12.75" x14ac:dyDescent="0.35">
      <c r="I415" s="3"/>
      <c r="J415" s="3"/>
      <c r="K415" s="3"/>
      <c r="L415" s="3"/>
      <c r="M415" s="3"/>
      <c r="Y415" s="3"/>
    </row>
    <row r="416" spans="9:25" ht="12.75" x14ac:dyDescent="0.35">
      <c r="I416" s="3"/>
      <c r="J416" s="3"/>
      <c r="K416" s="3"/>
      <c r="L416" s="3"/>
      <c r="M416" s="3"/>
      <c r="Y416" s="3"/>
    </row>
    <row r="417" spans="9:25" ht="12.75" x14ac:dyDescent="0.35">
      <c r="I417" s="3"/>
      <c r="J417" s="3"/>
      <c r="K417" s="3"/>
      <c r="L417" s="3"/>
      <c r="M417" s="3"/>
      <c r="Y417" s="3"/>
    </row>
    <row r="418" spans="9:25" ht="12.75" x14ac:dyDescent="0.35">
      <c r="I418" s="3"/>
      <c r="J418" s="3"/>
      <c r="K418" s="3"/>
      <c r="L418" s="3"/>
      <c r="M418" s="3"/>
      <c r="Y418" s="3"/>
    </row>
    <row r="419" spans="9:25" ht="12.75" x14ac:dyDescent="0.35">
      <c r="I419" s="3"/>
      <c r="J419" s="3"/>
      <c r="K419" s="3"/>
      <c r="L419" s="3"/>
      <c r="M419" s="3"/>
      <c r="Y419" s="3"/>
    </row>
    <row r="420" spans="9:25" ht="12.75" x14ac:dyDescent="0.35">
      <c r="I420" s="3"/>
      <c r="J420" s="3"/>
      <c r="K420" s="3"/>
      <c r="L420" s="3"/>
      <c r="M420" s="3"/>
      <c r="Y420" s="3"/>
    </row>
    <row r="421" spans="9:25" ht="12.75" x14ac:dyDescent="0.35">
      <c r="I421" s="3"/>
      <c r="J421" s="3"/>
      <c r="K421" s="3"/>
      <c r="L421" s="3"/>
      <c r="M421" s="3"/>
      <c r="Y421" s="3"/>
    </row>
    <row r="422" spans="9:25" ht="12.75" x14ac:dyDescent="0.35">
      <c r="I422" s="3"/>
      <c r="J422" s="3"/>
      <c r="K422" s="3"/>
      <c r="L422" s="3"/>
      <c r="M422" s="3"/>
      <c r="Y422" s="3"/>
    </row>
    <row r="423" spans="9:25" ht="12.75" x14ac:dyDescent="0.35">
      <c r="I423" s="3"/>
      <c r="J423" s="3"/>
      <c r="K423" s="3"/>
      <c r="L423" s="3"/>
      <c r="M423" s="3"/>
      <c r="Y423" s="3"/>
    </row>
    <row r="424" spans="9:25" ht="12.75" x14ac:dyDescent="0.35">
      <c r="I424" s="3"/>
      <c r="J424" s="3"/>
      <c r="K424" s="3"/>
      <c r="L424" s="3"/>
      <c r="M424" s="3"/>
      <c r="Y424" s="3"/>
    </row>
    <row r="425" spans="9:25" ht="12.75" x14ac:dyDescent="0.35">
      <c r="I425" s="3"/>
      <c r="J425" s="3"/>
      <c r="K425" s="3"/>
      <c r="L425" s="3"/>
      <c r="M425" s="3"/>
      <c r="Y425" s="3"/>
    </row>
    <row r="426" spans="9:25" ht="12.75" x14ac:dyDescent="0.35">
      <c r="I426" s="3"/>
      <c r="J426" s="3"/>
      <c r="K426" s="3"/>
      <c r="L426" s="3"/>
      <c r="M426" s="3"/>
      <c r="Y426" s="3"/>
    </row>
    <row r="427" spans="9:25" ht="12.75" x14ac:dyDescent="0.35">
      <c r="I427" s="3"/>
      <c r="J427" s="3"/>
      <c r="K427" s="3"/>
      <c r="L427" s="3"/>
      <c r="M427" s="3"/>
      <c r="Y427" s="3"/>
    </row>
    <row r="428" spans="9:25" ht="12.75" x14ac:dyDescent="0.35">
      <c r="I428" s="3"/>
      <c r="J428" s="3"/>
      <c r="K428" s="3"/>
      <c r="L428" s="3"/>
      <c r="M428" s="3"/>
      <c r="Y428" s="3"/>
    </row>
    <row r="429" spans="9:25" ht="12.75" x14ac:dyDescent="0.35">
      <c r="I429" s="3"/>
      <c r="J429" s="3"/>
      <c r="K429" s="3"/>
      <c r="L429" s="3"/>
      <c r="M429" s="3"/>
      <c r="Y429" s="3"/>
    </row>
    <row r="430" spans="9:25" ht="12.75" x14ac:dyDescent="0.35">
      <c r="I430" s="3"/>
      <c r="J430" s="3"/>
      <c r="K430" s="3"/>
      <c r="L430" s="3"/>
      <c r="M430" s="3"/>
      <c r="Y430" s="3"/>
    </row>
    <row r="431" spans="9:25" ht="12.75" x14ac:dyDescent="0.35">
      <c r="I431" s="3"/>
      <c r="J431" s="3"/>
      <c r="K431" s="3"/>
      <c r="L431" s="3"/>
      <c r="M431" s="3"/>
      <c r="Y431" s="3"/>
    </row>
    <row r="432" spans="9:25" ht="12.75" x14ac:dyDescent="0.35">
      <c r="I432" s="3"/>
      <c r="J432" s="3"/>
      <c r="K432" s="3"/>
      <c r="L432" s="3"/>
      <c r="M432" s="3"/>
      <c r="Y432" s="3"/>
    </row>
    <row r="433" spans="9:25" ht="12.75" x14ac:dyDescent="0.35">
      <c r="I433" s="3"/>
      <c r="J433" s="3"/>
      <c r="K433" s="3"/>
      <c r="L433" s="3"/>
      <c r="M433" s="3"/>
      <c r="Y433" s="3"/>
    </row>
    <row r="434" spans="9:25" ht="12.75" x14ac:dyDescent="0.35">
      <c r="I434" s="3"/>
      <c r="J434" s="3"/>
      <c r="K434" s="3"/>
      <c r="L434" s="3"/>
      <c r="M434" s="3"/>
      <c r="Y434" s="3"/>
    </row>
    <row r="435" spans="9:25" ht="12.75" x14ac:dyDescent="0.35">
      <c r="I435" s="3"/>
      <c r="J435" s="3"/>
      <c r="K435" s="3"/>
      <c r="L435" s="3"/>
      <c r="M435" s="3"/>
      <c r="Y435" s="3"/>
    </row>
    <row r="436" spans="9:25" ht="12.75" x14ac:dyDescent="0.35">
      <c r="I436" s="3"/>
      <c r="J436" s="3"/>
      <c r="K436" s="3"/>
      <c r="L436" s="3"/>
      <c r="M436" s="3"/>
      <c r="Y436" s="3"/>
    </row>
    <row r="437" spans="9:25" ht="12.75" x14ac:dyDescent="0.35">
      <c r="I437" s="3"/>
      <c r="J437" s="3"/>
      <c r="K437" s="3"/>
      <c r="L437" s="3"/>
      <c r="M437" s="3"/>
      <c r="Y437" s="3"/>
    </row>
    <row r="438" spans="9:25" ht="12.75" x14ac:dyDescent="0.35">
      <c r="I438" s="3"/>
      <c r="J438" s="3"/>
      <c r="K438" s="3"/>
      <c r="L438" s="3"/>
      <c r="M438" s="3"/>
      <c r="Y438" s="3"/>
    </row>
    <row r="439" spans="9:25" ht="12.75" x14ac:dyDescent="0.35">
      <c r="I439" s="3"/>
      <c r="J439" s="3"/>
      <c r="K439" s="3"/>
      <c r="L439" s="3"/>
      <c r="M439" s="3"/>
      <c r="Y439" s="3"/>
    </row>
    <row r="440" spans="9:25" ht="12.75" x14ac:dyDescent="0.35">
      <c r="I440" s="3"/>
      <c r="J440" s="3"/>
      <c r="K440" s="3"/>
      <c r="L440" s="3"/>
      <c r="M440" s="3"/>
      <c r="Y440" s="3"/>
    </row>
    <row r="441" spans="9:25" ht="12.75" x14ac:dyDescent="0.35">
      <c r="I441" s="3"/>
      <c r="J441" s="3"/>
      <c r="K441" s="3"/>
      <c r="L441" s="3"/>
      <c r="M441" s="3"/>
      <c r="Y441" s="3"/>
    </row>
    <row r="442" spans="9:25" ht="12.75" x14ac:dyDescent="0.35">
      <c r="I442" s="3"/>
      <c r="J442" s="3"/>
      <c r="K442" s="3"/>
      <c r="L442" s="3"/>
      <c r="M442" s="3"/>
      <c r="Y442" s="3"/>
    </row>
    <row r="443" spans="9:25" ht="12.75" x14ac:dyDescent="0.35">
      <c r="I443" s="3"/>
      <c r="J443" s="3"/>
      <c r="K443" s="3"/>
      <c r="L443" s="3"/>
      <c r="M443" s="3"/>
      <c r="Y443" s="3"/>
    </row>
    <row r="444" spans="9:25" ht="12.75" x14ac:dyDescent="0.35">
      <c r="I444" s="3"/>
      <c r="J444" s="3"/>
      <c r="K444" s="3"/>
      <c r="L444" s="3"/>
      <c r="M444" s="3"/>
      <c r="Y444" s="3"/>
    </row>
    <row r="445" spans="9:25" ht="12.75" x14ac:dyDescent="0.35">
      <c r="I445" s="3"/>
      <c r="J445" s="3"/>
      <c r="K445" s="3"/>
      <c r="L445" s="3"/>
      <c r="M445" s="3"/>
      <c r="Y445" s="3"/>
    </row>
    <row r="446" spans="9:25" ht="12.75" x14ac:dyDescent="0.35">
      <c r="I446" s="3"/>
      <c r="J446" s="3"/>
      <c r="K446" s="3"/>
      <c r="L446" s="3"/>
      <c r="M446" s="3"/>
      <c r="Y446" s="3"/>
    </row>
    <row r="447" spans="9:25" ht="12.75" x14ac:dyDescent="0.35">
      <c r="I447" s="3"/>
      <c r="J447" s="3"/>
      <c r="K447" s="3"/>
      <c r="L447" s="3"/>
      <c r="M447" s="3"/>
      <c r="Y447" s="3"/>
    </row>
    <row r="448" spans="9:25" ht="12.75" x14ac:dyDescent="0.35">
      <c r="I448" s="3"/>
      <c r="J448" s="3"/>
      <c r="K448" s="3"/>
      <c r="L448" s="3"/>
      <c r="M448" s="3"/>
      <c r="Y448" s="3"/>
    </row>
    <row r="449" spans="9:25" ht="12.75" x14ac:dyDescent="0.35">
      <c r="I449" s="3"/>
      <c r="J449" s="3"/>
      <c r="K449" s="3"/>
      <c r="L449" s="3"/>
      <c r="M449" s="3"/>
      <c r="Y449" s="3"/>
    </row>
    <row r="450" spans="9:25" ht="12.75" x14ac:dyDescent="0.35">
      <c r="I450" s="3"/>
      <c r="J450" s="3"/>
      <c r="K450" s="3"/>
      <c r="L450" s="3"/>
      <c r="M450" s="3"/>
      <c r="Y450" s="3"/>
    </row>
    <row r="451" spans="9:25" ht="12.75" x14ac:dyDescent="0.35">
      <c r="I451" s="3"/>
      <c r="J451" s="3"/>
      <c r="K451" s="3"/>
      <c r="L451" s="3"/>
      <c r="M451" s="3"/>
      <c r="Y451" s="3"/>
    </row>
    <row r="452" spans="9:25" ht="12.75" x14ac:dyDescent="0.35">
      <c r="I452" s="3"/>
      <c r="J452" s="3"/>
      <c r="K452" s="3"/>
      <c r="L452" s="3"/>
      <c r="M452" s="3"/>
      <c r="Y452" s="3"/>
    </row>
    <row r="453" spans="9:25" ht="12.75" x14ac:dyDescent="0.35">
      <c r="I453" s="3"/>
      <c r="J453" s="3"/>
      <c r="K453" s="3"/>
      <c r="L453" s="3"/>
      <c r="M453" s="3"/>
      <c r="Y453" s="3"/>
    </row>
    <row r="454" spans="9:25" ht="12.75" x14ac:dyDescent="0.35">
      <c r="I454" s="3"/>
      <c r="J454" s="3"/>
      <c r="K454" s="3"/>
      <c r="L454" s="3"/>
      <c r="M454" s="3"/>
      <c r="Y454" s="3"/>
    </row>
    <row r="455" spans="9:25" ht="12.75" x14ac:dyDescent="0.35">
      <c r="I455" s="3"/>
      <c r="J455" s="3"/>
      <c r="K455" s="3"/>
      <c r="L455" s="3"/>
      <c r="M455" s="3"/>
      <c r="Y455" s="3"/>
    </row>
    <row r="456" spans="9:25" ht="12.75" x14ac:dyDescent="0.35">
      <c r="I456" s="3"/>
      <c r="J456" s="3"/>
      <c r="K456" s="3"/>
      <c r="L456" s="3"/>
      <c r="M456" s="3"/>
      <c r="Y456" s="3"/>
    </row>
    <row r="457" spans="9:25" ht="12.75" x14ac:dyDescent="0.35">
      <c r="I457" s="3"/>
      <c r="J457" s="3"/>
      <c r="K457" s="3"/>
      <c r="L457" s="3"/>
      <c r="M457" s="3"/>
      <c r="Y457" s="3"/>
    </row>
    <row r="458" spans="9:25" ht="12.75" x14ac:dyDescent="0.35">
      <c r="I458" s="3"/>
      <c r="J458" s="3"/>
      <c r="K458" s="3"/>
      <c r="L458" s="3"/>
      <c r="M458" s="3"/>
      <c r="Y458" s="3"/>
    </row>
    <row r="459" spans="9:25" ht="12.75" x14ac:dyDescent="0.35">
      <c r="I459" s="3"/>
      <c r="J459" s="3"/>
      <c r="K459" s="3"/>
      <c r="L459" s="3"/>
      <c r="M459" s="3"/>
      <c r="Y459" s="3"/>
    </row>
    <row r="460" spans="9:25" ht="12.75" x14ac:dyDescent="0.35">
      <c r="I460" s="3"/>
      <c r="J460" s="3"/>
      <c r="K460" s="3"/>
      <c r="L460" s="3"/>
      <c r="M460" s="3"/>
      <c r="Y460" s="3"/>
    </row>
    <row r="461" spans="9:25" ht="12.75" x14ac:dyDescent="0.35">
      <c r="I461" s="3"/>
      <c r="J461" s="3"/>
      <c r="K461" s="3"/>
      <c r="L461" s="3"/>
      <c r="M461" s="3"/>
      <c r="Y461" s="3"/>
    </row>
    <row r="462" spans="9:25" ht="12.75" x14ac:dyDescent="0.35">
      <c r="I462" s="3"/>
      <c r="J462" s="3"/>
      <c r="K462" s="3"/>
      <c r="L462" s="3"/>
      <c r="M462" s="3"/>
      <c r="Y462" s="3"/>
    </row>
    <row r="463" spans="9:25" ht="12.75" x14ac:dyDescent="0.35">
      <c r="I463" s="3"/>
      <c r="J463" s="3"/>
      <c r="K463" s="3"/>
      <c r="L463" s="3"/>
      <c r="M463" s="3"/>
      <c r="Y463" s="3"/>
    </row>
    <row r="464" spans="9:25" ht="12.75" x14ac:dyDescent="0.35">
      <c r="I464" s="3"/>
      <c r="J464" s="3"/>
      <c r="K464" s="3"/>
      <c r="L464" s="3"/>
      <c r="M464" s="3"/>
      <c r="Y464" s="3"/>
    </row>
    <row r="465" spans="9:25" ht="12.75" x14ac:dyDescent="0.35">
      <c r="I465" s="3"/>
      <c r="J465" s="3"/>
      <c r="K465" s="3"/>
      <c r="L465" s="3"/>
      <c r="M465" s="3"/>
      <c r="Y465" s="3"/>
    </row>
    <row r="466" spans="9:25" ht="12.75" x14ac:dyDescent="0.35">
      <c r="I466" s="3"/>
      <c r="J466" s="3"/>
      <c r="K466" s="3"/>
      <c r="L466" s="3"/>
      <c r="M466" s="3"/>
      <c r="Y466" s="3"/>
    </row>
    <row r="467" spans="9:25" ht="12.75" x14ac:dyDescent="0.35">
      <c r="I467" s="3"/>
      <c r="J467" s="3"/>
      <c r="K467" s="3"/>
      <c r="L467" s="3"/>
      <c r="M467" s="3"/>
      <c r="Y467" s="3"/>
    </row>
    <row r="468" spans="9:25" ht="12.75" x14ac:dyDescent="0.35">
      <c r="I468" s="3"/>
      <c r="J468" s="3"/>
      <c r="K468" s="3"/>
      <c r="L468" s="3"/>
      <c r="M468" s="3"/>
      <c r="Y468" s="3"/>
    </row>
    <row r="469" spans="9:25" ht="12.75" x14ac:dyDescent="0.35">
      <c r="I469" s="3"/>
      <c r="J469" s="3"/>
      <c r="K469" s="3"/>
      <c r="L469" s="3"/>
      <c r="M469" s="3"/>
      <c r="Y469" s="3"/>
    </row>
    <row r="470" spans="9:25" ht="12.75" x14ac:dyDescent="0.35">
      <c r="I470" s="3"/>
      <c r="J470" s="3"/>
      <c r="K470" s="3"/>
      <c r="L470" s="3"/>
      <c r="M470" s="3"/>
      <c r="Y470" s="3"/>
    </row>
    <row r="471" spans="9:25" ht="12.75" x14ac:dyDescent="0.35">
      <c r="I471" s="3"/>
      <c r="J471" s="3"/>
      <c r="K471" s="3"/>
      <c r="L471" s="3"/>
      <c r="M471" s="3"/>
      <c r="Y471" s="3"/>
    </row>
    <row r="472" spans="9:25" ht="12.75" x14ac:dyDescent="0.35">
      <c r="I472" s="3"/>
      <c r="J472" s="3"/>
      <c r="K472" s="3"/>
      <c r="L472" s="3"/>
      <c r="M472" s="3"/>
      <c r="Y472" s="3"/>
    </row>
    <row r="473" spans="9:25" ht="12.75" x14ac:dyDescent="0.35">
      <c r="I473" s="3"/>
      <c r="J473" s="3"/>
      <c r="K473" s="3"/>
      <c r="L473" s="3"/>
      <c r="M473" s="3"/>
      <c r="Y473" s="3"/>
    </row>
    <row r="474" spans="9:25" ht="12.75" x14ac:dyDescent="0.35">
      <c r="I474" s="3"/>
      <c r="J474" s="3"/>
      <c r="K474" s="3"/>
      <c r="L474" s="3"/>
      <c r="M474" s="3"/>
      <c r="Y474" s="3"/>
    </row>
    <row r="475" spans="9:25" ht="12.75" x14ac:dyDescent="0.35">
      <c r="I475" s="3"/>
      <c r="J475" s="3"/>
      <c r="K475" s="3"/>
      <c r="L475" s="3"/>
      <c r="M475" s="3"/>
      <c r="Y475" s="3"/>
    </row>
    <row r="476" spans="9:25" ht="12.75" x14ac:dyDescent="0.35">
      <c r="I476" s="3"/>
      <c r="J476" s="3"/>
      <c r="K476" s="3"/>
      <c r="L476" s="3"/>
      <c r="M476" s="3"/>
      <c r="Y476" s="3"/>
    </row>
    <row r="477" spans="9:25" ht="12.75" x14ac:dyDescent="0.35">
      <c r="I477" s="3"/>
      <c r="J477" s="3"/>
      <c r="K477" s="3"/>
      <c r="L477" s="3"/>
      <c r="M477" s="3"/>
      <c r="Y477" s="3"/>
    </row>
    <row r="478" spans="9:25" ht="12.75" x14ac:dyDescent="0.35">
      <c r="I478" s="3"/>
      <c r="J478" s="3"/>
      <c r="K478" s="3"/>
      <c r="L478" s="3"/>
      <c r="M478" s="3"/>
      <c r="Y478" s="3"/>
    </row>
    <row r="479" spans="9:25" ht="12.75" x14ac:dyDescent="0.35">
      <c r="I479" s="3"/>
      <c r="J479" s="3"/>
      <c r="K479" s="3"/>
      <c r="L479" s="3"/>
      <c r="M479" s="3"/>
      <c r="Y479" s="3"/>
    </row>
    <row r="480" spans="9:25" ht="12.75" x14ac:dyDescent="0.35">
      <c r="I480" s="3"/>
      <c r="J480" s="3"/>
      <c r="K480" s="3"/>
      <c r="L480" s="3"/>
      <c r="M480" s="3"/>
      <c r="Y480" s="3"/>
    </row>
    <row r="481" spans="9:25" ht="12.75" x14ac:dyDescent="0.35">
      <c r="I481" s="3"/>
      <c r="J481" s="3"/>
      <c r="K481" s="3"/>
      <c r="L481" s="3"/>
      <c r="M481" s="3"/>
      <c r="Y481" s="3"/>
    </row>
    <row r="482" spans="9:25" ht="12.75" x14ac:dyDescent="0.35">
      <c r="I482" s="3"/>
      <c r="J482" s="3"/>
      <c r="K482" s="3"/>
      <c r="L482" s="3"/>
      <c r="M482" s="3"/>
      <c r="Y482" s="3"/>
    </row>
    <row r="483" spans="9:25" ht="12.75" x14ac:dyDescent="0.35">
      <c r="I483" s="3"/>
      <c r="J483" s="3"/>
      <c r="K483" s="3"/>
      <c r="L483" s="3"/>
      <c r="M483" s="3"/>
      <c r="Y483" s="3"/>
    </row>
    <row r="484" spans="9:25" ht="12.75" x14ac:dyDescent="0.35">
      <c r="I484" s="3"/>
      <c r="J484" s="3"/>
      <c r="K484" s="3"/>
      <c r="L484" s="3"/>
      <c r="M484" s="3"/>
      <c r="Y484" s="3"/>
    </row>
    <row r="485" spans="9:25" ht="12.75" x14ac:dyDescent="0.35">
      <c r="I485" s="3"/>
      <c r="J485" s="3"/>
      <c r="K485" s="3"/>
      <c r="L485" s="3"/>
      <c r="M485" s="3"/>
      <c r="Y485" s="3"/>
    </row>
    <row r="486" spans="9:25" ht="12.75" x14ac:dyDescent="0.35">
      <c r="I486" s="3"/>
      <c r="J486" s="3"/>
      <c r="K486" s="3"/>
      <c r="L486" s="3"/>
      <c r="M486" s="3"/>
      <c r="Y486" s="3"/>
    </row>
    <row r="487" spans="9:25" ht="12.75" x14ac:dyDescent="0.35">
      <c r="I487" s="3"/>
      <c r="J487" s="3"/>
      <c r="K487" s="3"/>
      <c r="L487" s="3"/>
      <c r="M487" s="3"/>
      <c r="Y487" s="3"/>
    </row>
    <row r="488" spans="9:25" ht="12.75" x14ac:dyDescent="0.35">
      <c r="I488" s="3"/>
      <c r="J488" s="3"/>
      <c r="K488" s="3"/>
      <c r="L488" s="3"/>
      <c r="M488" s="3"/>
      <c r="Y488" s="3"/>
    </row>
    <row r="489" spans="9:25" ht="12.75" x14ac:dyDescent="0.35">
      <c r="I489" s="3"/>
      <c r="J489" s="3"/>
      <c r="K489" s="3"/>
      <c r="L489" s="3"/>
      <c r="M489" s="3"/>
      <c r="Y489" s="3"/>
    </row>
    <row r="490" spans="9:25" ht="12.75" x14ac:dyDescent="0.35">
      <c r="I490" s="3"/>
      <c r="J490" s="3"/>
      <c r="K490" s="3"/>
      <c r="L490" s="3"/>
      <c r="M490" s="3"/>
      <c r="Y490" s="3"/>
    </row>
    <row r="491" spans="9:25" ht="12.75" x14ac:dyDescent="0.35">
      <c r="I491" s="3"/>
      <c r="J491" s="3"/>
      <c r="K491" s="3"/>
      <c r="L491" s="3"/>
      <c r="M491" s="3"/>
      <c r="Y491" s="3"/>
    </row>
    <row r="492" spans="9:25" ht="12.75" x14ac:dyDescent="0.35">
      <c r="I492" s="3"/>
      <c r="J492" s="3"/>
      <c r="K492" s="3"/>
      <c r="L492" s="3"/>
      <c r="M492" s="3"/>
      <c r="Y492" s="3"/>
    </row>
    <row r="493" spans="9:25" ht="12.75" x14ac:dyDescent="0.35">
      <c r="I493" s="3"/>
      <c r="J493" s="3"/>
      <c r="K493" s="3"/>
      <c r="L493" s="3"/>
      <c r="M493" s="3"/>
      <c r="Y493" s="3"/>
    </row>
    <row r="494" spans="9:25" ht="12.75" x14ac:dyDescent="0.35">
      <c r="I494" s="3"/>
      <c r="J494" s="3"/>
      <c r="K494" s="3"/>
      <c r="L494" s="3"/>
      <c r="M494" s="3"/>
      <c r="Y494" s="3"/>
    </row>
    <row r="495" spans="9:25" ht="12.75" x14ac:dyDescent="0.35">
      <c r="I495" s="3"/>
      <c r="J495" s="3"/>
      <c r="K495" s="3"/>
      <c r="L495" s="3"/>
      <c r="M495" s="3"/>
      <c r="Y495" s="3"/>
    </row>
    <row r="496" spans="9:25" ht="12.75" x14ac:dyDescent="0.35">
      <c r="I496" s="3"/>
      <c r="J496" s="3"/>
      <c r="K496" s="3"/>
      <c r="L496" s="3"/>
      <c r="M496" s="3"/>
      <c r="Y496" s="3"/>
    </row>
    <row r="497" spans="9:25" ht="12.75" x14ac:dyDescent="0.35">
      <c r="I497" s="3"/>
      <c r="J497" s="3"/>
      <c r="K497" s="3"/>
      <c r="L497" s="3"/>
      <c r="M497" s="3"/>
      <c r="Y497" s="3"/>
    </row>
    <row r="498" spans="9:25" ht="12.75" x14ac:dyDescent="0.35">
      <c r="I498" s="3"/>
      <c r="J498" s="3"/>
      <c r="K498" s="3"/>
      <c r="L498" s="3"/>
      <c r="M498" s="3"/>
      <c r="Y498" s="3"/>
    </row>
    <row r="499" spans="9:25" ht="12.75" x14ac:dyDescent="0.35">
      <c r="I499" s="3"/>
      <c r="J499" s="3"/>
      <c r="K499" s="3"/>
      <c r="L499" s="3"/>
      <c r="M499" s="3"/>
      <c r="Y499" s="3"/>
    </row>
    <row r="500" spans="9:25" ht="12.75" x14ac:dyDescent="0.35">
      <c r="I500" s="3"/>
      <c r="J500" s="3"/>
      <c r="K500" s="3"/>
      <c r="L500" s="3"/>
      <c r="M500" s="3"/>
      <c r="Y500" s="3"/>
    </row>
    <row r="501" spans="9:25" ht="12.75" x14ac:dyDescent="0.35">
      <c r="I501" s="3"/>
      <c r="J501" s="3"/>
      <c r="K501" s="3"/>
      <c r="L501" s="3"/>
      <c r="M501" s="3"/>
      <c r="Y501" s="3"/>
    </row>
    <row r="502" spans="9:25" ht="12.75" x14ac:dyDescent="0.35">
      <c r="I502" s="3"/>
      <c r="J502" s="3"/>
      <c r="K502" s="3"/>
      <c r="L502" s="3"/>
      <c r="M502" s="3"/>
      <c r="Y502" s="3"/>
    </row>
    <row r="503" spans="9:25" ht="12.75" x14ac:dyDescent="0.35">
      <c r="I503" s="3"/>
      <c r="J503" s="3"/>
      <c r="K503" s="3"/>
      <c r="L503" s="3"/>
      <c r="M503" s="3"/>
      <c r="Y503" s="3"/>
    </row>
    <row r="504" spans="9:25" ht="12.75" x14ac:dyDescent="0.35">
      <c r="I504" s="3"/>
      <c r="J504" s="3"/>
      <c r="K504" s="3"/>
      <c r="L504" s="3"/>
      <c r="M504" s="3"/>
      <c r="Y504" s="3"/>
    </row>
    <row r="505" spans="9:25" ht="12.75" x14ac:dyDescent="0.35">
      <c r="I505" s="3"/>
      <c r="J505" s="3"/>
      <c r="K505" s="3"/>
      <c r="L505" s="3"/>
      <c r="M505" s="3"/>
      <c r="Y505" s="3"/>
    </row>
    <row r="506" spans="9:25" ht="12.75" x14ac:dyDescent="0.35">
      <c r="I506" s="3"/>
      <c r="J506" s="3"/>
      <c r="K506" s="3"/>
      <c r="L506" s="3"/>
      <c r="M506" s="3"/>
      <c r="Y506" s="3"/>
    </row>
    <row r="507" spans="9:25" ht="12.75" x14ac:dyDescent="0.35">
      <c r="I507" s="3"/>
      <c r="J507" s="3"/>
      <c r="K507" s="3"/>
      <c r="L507" s="3"/>
      <c r="M507" s="3"/>
      <c r="Y507" s="3"/>
    </row>
    <row r="508" spans="9:25" ht="12.75" x14ac:dyDescent="0.35">
      <c r="I508" s="3"/>
      <c r="J508" s="3"/>
      <c r="K508" s="3"/>
      <c r="L508" s="3"/>
      <c r="M508" s="3"/>
      <c r="Y508" s="3"/>
    </row>
    <row r="509" spans="9:25" ht="12.75" x14ac:dyDescent="0.35">
      <c r="I509" s="3"/>
      <c r="J509" s="3"/>
      <c r="K509" s="3"/>
      <c r="L509" s="3"/>
      <c r="M509" s="3"/>
      <c r="Y509" s="3"/>
    </row>
    <row r="510" spans="9:25" ht="12.75" x14ac:dyDescent="0.35">
      <c r="I510" s="3"/>
      <c r="J510" s="3"/>
      <c r="K510" s="3"/>
      <c r="L510" s="3"/>
      <c r="M510" s="3"/>
      <c r="Y510" s="3"/>
    </row>
    <row r="511" spans="9:25" ht="12.75" x14ac:dyDescent="0.35">
      <c r="I511" s="3"/>
      <c r="J511" s="3"/>
      <c r="K511" s="3"/>
      <c r="L511" s="3"/>
      <c r="M511" s="3"/>
      <c r="Y511" s="3"/>
    </row>
    <row r="512" spans="9:25" ht="12.75" x14ac:dyDescent="0.35">
      <c r="I512" s="3"/>
      <c r="J512" s="3"/>
      <c r="K512" s="3"/>
      <c r="L512" s="3"/>
      <c r="M512" s="3"/>
      <c r="Y512" s="3"/>
    </row>
    <row r="513" spans="9:25" ht="12.75" x14ac:dyDescent="0.35">
      <c r="I513" s="3"/>
      <c r="J513" s="3"/>
      <c r="K513" s="3"/>
      <c r="L513" s="3"/>
      <c r="M513" s="3"/>
      <c r="Y513" s="3"/>
    </row>
    <row r="514" spans="9:25" ht="12.75" x14ac:dyDescent="0.35">
      <c r="I514" s="3"/>
      <c r="J514" s="3"/>
      <c r="K514" s="3"/>
      <c r="L514" s="3"/>
      <c r="M514" s="3"/>
      <c r="Y514" s="3"/>
    </row>
    <row r="515" spans="9:25" ht="12.75" x14ac:dyDescent="0.35">
      <c r="I515" s="3"/>
      <c r="J515" s="3"/>
      <c r="K515" s="3"/>
      <c r="L515" s="3"/>
      <c r="M515" s="3"/>
      <c r="Y515" s="3"/>
    </row>
    <row r="516" spans="9:25" ht="12.75" x14ac:dyDescent="0.35">
      <c r="I516" s="3"/>
      <c r="J516" s="3"/>
      <c r="K516" s="3"/>
      <c r="L516" s="3"/>
      <c r="M516" s="3"/>
      <c r="Y516" s="3"/>
    </row>
    <row r="517" spans="9:25" ht="12.75" x14ac:dyDescent="0.35">
      <c r="I517" s="3"/>
      <c r="J517" s="3"/>
      <c r="K517" s="3"/>
      <c r="L517" s="3"/>
      <c r="M517" s="3"/>
      <c r="Y517" s="3"/>
    </row>
    <row r="518" spans="9:25" ht="12.75" x14ac:dyDescent="0.35">
      <c r="I518" s="3"/>
      <c r="J518" s="3"/>
      <c r="K518" s="3"/>
      <c r="L518" s="3"/>
      <c r="M518" s="3"/>
      <c r="Y518" s="3"/>
    </row>
    <row r="519" spans="9:25" ht="12.75" x14ac:dyDescent="0.35">
      <c r="I519" s="3"/>
      <c r="J519" s="3"/>
      <c r="K519" s="3"/>
      <c r="L519" s="3"/>
      <c r="M519" s="3"/>
      <c r="Y519" s="3"/>
    </row>
    <row r="520" spans="9:25" ht="12.75" x14ac:dyDescent="0.35">
      <c r="I520" s="3"/>
      <c r="J520" s="3"/>
      <c r="K520" s="3"/>
      <c r="L520" s="3"/>
      <c r="M520" s="3"/>
      <c r="Y520" s="3"/>
    </row>
    <row r="521" spans="9:25" ht="12.75" x14ac:dyDescent="0.35">
      <c r="I521" s="3"/>
      <c r="J521" s="3"/>
      <c r="K521" s="3"/>
      <c r="L521" s="3"/>
      <c r="M521" s="3"/>
      <c r="Y521" s="3"/>
    </row>
    <row r="522" spans="9:25" ht="12.75" x14ac:dyDescent="0.35">
      <c r="I522" s="3"/>
      <c r="J522" s="3"/>
      <c r="K522" s="3"/>
      <c r="L522" s="3"/>
      <c r="M522" s="3"/>
      <c r="Y522" s="3"/>
    </row>
    <row r="523" spans="9:25" ht="12.75" x14ac:dyDescent="0.35">
      <c r="I523" s="3"/>
      <c r="J523" s="3"/>
      <c r="K523" s="3"/>
      <c r="L523" s="3"/>
      <c r="M523" s="3"/>
      <c r="Y523" s="3"/>
    </row>
    <row r="524" spans="9:25" ht="12.75" x14ac:dyDescent="0.35">
      <c r="I524" s="3"/>
      <c r="J524" s="3"/>
      <c r="K524" s="3"/>
      <c r="L524" s="3"/>
      <c r="M524" s="3"/>
      <c r="Y524" s="3"/>
    </row>
    <row r="525" spans="9:25" ht="12.75" x14ac:dyDescent="0.35">
      <c r="I525" s="3"/>
      <c r="J525" s="3"/>
      <c r="K525" s="3"/>
      <c r="L525" s="3"/>
      <c r="M525" s="3"/>
      <c r="Y525" s="3"/>
    </row>
    <row r="526" spans="9:25" ht="12.75" x14ac:dyDescent="0.35">
      <c r="I526" s="3"/>
      <c r="J526" s="3"/>
      <c r="K526" s="3"/>
      <c r="L526" s="3"/>
      <c r="M526" s="3"/>
      <c r="Y526" s="3"/>
    </row>
    <row r="527" spans="9:25" ht="12.75" x14ac:dyDescent="0.35">
      <c r="I527" s="3"/>
      <c r="J527" s="3"/>
      <c r="K527" s="3"/>
      <c r="L527" s="3"/>
      <c r="M527" s="3"/>
      <c r="Y527" s="3"/>
    </row>
    <row r="528" spans="9:25" ht="12.75" x14ac:dyDescent="0.35">
      <c r="I528" s="3"/>
      <c r="J528" s="3"/>
      <c r="K528" s="3"/>
      <c r="L528" s="3"/>
      <c r="M528" s="3"/>
      <c r="Y528" s="3"/>
    </row>
    <row r="529" spans="9:25" ht="12.75" x14ac:dyDescent="0.35">
      <c r="I529" s="3"/>
      <c r="J529" s="3"/>
      <c r="K529" s="3"/>
      <c r="L529" s="3"/>
      <c r="M529" s="3"/>
      <c r="Y529" s="3"/>
    </row>
    <row r="530" spans="9:25" ht="12.75" x14ac:dyDescent="0.35">
      <c r="I530" s="3"/>
      <c r="J530" s="3"/>
      <c r="K530" s="3"/>
      <c r="L530" s="3"/>
      <c r="M530" s="3"/>
      <c r="Y530" s="3"/>
    </row>
    <row r="531" spans="9:25" ht="12.75" x14ac:dyDescent="0.35">
      <c r="I531" s="3"/>
      <c r="J531" s="3"/>
      <c r="K531" s="3"/>
      <c r="L531" s="3"/>
      <c r="M531" s="3"/>
      <c r="Y531" s="3"/>
    </row>
    <row r="532" spans="9:25" ht="12.75" x14ac:dyDescent="0.35">
      <c r="I532" s="3"/>
      <c r="J532" s="3"/>
      <c r="K532" s="3"/>
      <c r="L532" s="3"/>
      <c r="M532" s="3"/>
      <c r="Y532" s="3"/>
    </row>
    <row r="533" spans="9:25" ht="12.75" x14ac:dyDescent="0.35">
      <c r="I533" s="3"/>
      <c r="J533" s="3"/>
      <c r="K533" s="3"/>
      <c r="L533" s="3"/>
      <c r="M533" s="3"/>
      <c r="Y533" s="3"/>
    </row>
    <row r="534" spans="9:25" ht="12.75" x14ac:dyDescent="0.35">
      <c r="I534" s="3"/>
      <c r="J534" s="3"/>
      <c r="K534" s="3"/>
      <c r="L534" s="3"/>
      <c r="M534" s="3"/>
      <c r="Y534" s="3"/>
    </row>
    <row r="535" spans="9:25" ht="12.75" x14ac:dyDescent="0.35">
      <c r="I535" s="3"/>
      <c r="J535" s="3"/>
      <c r="K535" s="3"/>
      <c r="L535" s="3"/>
      <c r="M535" s="3"/>
      <c r="Y535" s="3"/>
    </row>
    <row r="536" spans="9:25" ht="12.75" x14ac:dyDescent="0.35">
      <c r="I536" s="3"/>
      <c r="J536" s="3"/>
      <c r="K536" s="3"/>
      <c r="L536" s="3"/>
      <c r="M536" s="3"/>
      <c r="Y536" s="3"/>
    </row>
    <row r="537" spans="9:25" ht="12.75" x14ac:dyDescent="0.35">
      <c r="I537" s="3"/>
      <c r="J537" s="3"/>
      <c r="K537" s="3"/>
      <c r="L537" s="3"/>
      <c r="M537" s="3"/>
      <c r="Y537" s="3"/>
    </row>
    <row r="538" spans="9:25" ht="12.75" x14ac:dyDescent="0.35">
      <c r="I538" s="3"/>
      <c r="J538" s="3"/>
      <c r="K538" s="3"/>
      <c r="L538" s="3"/>
      <c r="M538" s="3"/>
      <c r="Y538" s="3"/>
    </row>
    <row r="539" spans="9:25" ht="12.75" x14ac:dyDescent="0.35">
      <c r="I539" s="3"/>
      <c r="J539" s="3"/>
      <c r="K539" s="3"/>
      <c r="L539" s="3"/>
      <c r="M539" s="3"/>
      <c r="Y539" s="3"/>
    </row>
    <row r="540" spans="9:25" ht="12.75" x14ac:dyDescent="0.35">
      <c r="I540" s="3"/>
      <c r="J540" s="3"/>
      <c r="K540" s="3"/>
      <c r="L540" s="3"/>
      <c r="M540" s="3"/>
      <c r="Y540" s="3"/>
    </row>
    <row r="541" spans="9:25" ht="12.75" x14ac:dyDescent="0.35">
      <c r="I541" s="3"/>
      <c r="J541" s="3"/>
      <c r="K541" s="3"/>
      <c r="L541" s="3"/>
      <c r="M541" s="3"/>
      <c r="Y541" s="3"/>
    </row>
    <row r="542" spans="9:25" ht="12.75" x14ac:dyDescent="0.35">
      <c r="I542" s="3"/>
      <c r="J542" s="3"/>
      <c r="K542" s="3"/>
      <c r="L542" s="3"/>
      <c r="M542" s="3"/>
      <c r="Y542" s="3"/>
    </row>
    <row r="543" spans="9:25" ht="12.75" x14ac:dyDescent="0.35">
      <c r="I543" s="3"/>
      <c r="J543" s="3"/>
      <c r="K543" s="3"/>
      <c r="L543" s="3"/>
      <c r="M543" s="3"/>
      <c r="Y543" s="3"/>
    </row>
    <row r="544" spans="9:25" ht="12.75" x14ac:dyDescent="0.35">
      <c r="I544" s="3"/>
      <c r="J544" s="3"/>
      <c r="K544" s="3"/>
      <c r="L544" s="3"/>
      <c r="M544" s="3"/>
      <c r="Y544" s="3"/>
    </row>
    <row r="545" spans="9:25" ht="12.75" x14ac:dyDescent="0.35">
      <c r="I545" s="3"/>
      <c r="J545" s="3"/>
      <c r="K545" s="3"/>
      <c r="L545" s="3"/>
      <c r="M545" s="3"/>
      <c r="Y545" s="3"/>
    </row>
    <row r="546" spans="9:25" ht="12.75" x14ac:dyDescent="0.35">
      <c r="I546" s="3"/>
      <c r="J546" s="3"/>
      <c r="K546" s="3"/>
      <c r="L546" s="3"/>
      <c r="M546" s="3"/>
      <c r="Y546" s="3"/>
    </row>
    <row r="547" spans="9:25" ht="12.75" x14ac:dyDescent="0.35">
      <c r="I547" s="3"/>
      <c r="J547" s="3"/>
      <c r="K547" s="3"/>
      <c r="L547" s="3"/>
      <c r="M547" s="3"/>
      <c r="Y547" s="3"/>
    </row>
    <row r="548" spans="9:25" ht="12.75" x14ac:dyDescent="0.35">
      <c r="I548" s="3"/>
      <c r="J548" s="3"/>
      <c r="K548" s="3"/>
      <c r="L548" s="3"/>
      <c r="M548" s="3"/>
      <c r="Y548" s="3"/>
    </row>
    <row r="549" spans="9:25" ht="12.75" x14ac:dyDescent="0.35">
      <c r="I549" s="3"/>
      <c r="J549" s="3"/>
      <c r="K549" s="3"/>
      <c r="L549" s="3"/>
      <c r="M549" s="3"/>
      <c r="Y549" s="3"/>
    </row>
    <row r="550" spans="9:25" ht="12.75" x14ac:dyDescent="0.35">
      <c r="I550" s="3"/>
      <c r="J550" s="3"/>
      <c r="K550" s="3"/>
      <c r="L550" s="3"/>
      <c r="M550" s="3"/>
      <c r="Y550" s="3"/>
    </row>
    <row r="551" spans="9:25" ht="12.75" x14ac:dyDescent="0.35">
      <c r="I551" s="3"/>
      <c r="J551" s="3"/>
      <c r="K551" s="3"/>
      <c r="L551" s="3"/>
      <c r="M551" s="3"/>
      <c r="Y551" s="3"/>
    </row>
    <row r="552" spans="9:25" ht="12.75" x14ac:dyDescent="0.35">
      <c r="I552" s="3"/>
      <c r="J552" s="3"/>
      <c r="K552" s="3"/>
      <c r="L552" s="3"/>
      <c r="M552" s="3"/>
      <c r="Y552" s="3"/>
    </row>
    <row r="553" spans="9:25" ht="12.75" x14ac:dyDescent="0.35">
      <c r="I553" s="3"/>
      <c r="J553" s="3"/>
      <c r="K553" s="3"/>
      <c r="L553" s="3"/>
      <c r="M553" s="3"/>
      <c r="Y553" s="3"/>
    </row>
    <row r="554" spans="9:25" ht="12.75" x14ac:dyDescent="0.35">
      <c r="I554" s="3"/>
      <c r="J554" s="3"/>
      <c r="K554" s="3"/>
      <c r="L554" s="3"/>
      <c r="M554" s="3"/>
      <c r="Y554" s="3"/>
    </row>
    <row r="555" spans="9:25" ht="12.75" x14ac:dyDescent="0.35">
      <c r="I555" s="3"/>
      <c r="J555" s="3"/>
      <c r="K555" s="3"/>
      <c r="L555" s="3"/>
      <c r="M555" s="3"/>
      <c r="Y555" s="3"/>
    </row>
    <row r="556" spans="9:25" ht="12.75" x14ac:dyDescent="0.35">
      <c r="I556" s="3"/>
      <c r="J556" s="3"/>
      <c r="K556" s="3"/>
      <c r="L556" s="3"/>
      <c r="M556" s="3"/>
      <c r="Y556" s="3"/>
    </row>
    <row r="557" spans="9:25" ht="12.75" x14ac:dyDescent="0.35">
      <c r="I557" s="3"/>
      <c r="J557" s="3"/>
      <c r="K557" s="3"/>
      <c r="L557" s="3"/>
      <c r="M557" s="3"/>
      <c r="Y557" s="3"/>
    </row>
    <row r="558" spans="9:25" ht="12.75" x14ac:dyDescent="0.35">
      <c r="I558" s="3"/>
      <c r="J558" s="3"/>
      <c r="K558" s="3"/>
      <c r="L558" s="3"/>
      <c r="M558" s="3"/>
      <c r="Y558" s="3"/>
    </row>
    <row r="559" spans="9:25" ht="12.75" x14ac:dyDescent="0.35">
      <c r="I559" s="3"/>
      <c r="J559" s="3"/>
      <c r="K559" s="3"/>
      <c r="L559" s="3"/>
      <c r="M559" s="3"/>
      <c r="Y559" s="3"/>
    </row>
    <row r="560" spans="9:25" ht="12.75" x14ac:dyDescent="0.35">
      <c r="I560" s="3"/>
      <c r="J560" s="3"/>
      <c r="K560" s="3"/>
      <c r="L560" s="3"/>
      <c r="M560" s="3"/>
      <c r="Y560" s="3"/>
    </row>
    <row r="561" spans="9:25" ht="12.75" x14ac:dyDescent="0.35">
      <c r="I561" s="3"/>
      <c r="J561" s="3"/>
      <c r="K561" s="3"/>
      <c r="L561" s="3"/>
      <c r="M561" s="3"/>
      <c r="Y561" s="3"/>
    </row>
    <row r="562" spans="9:25" ht="12.75" x14ac:dyDescent="0.35">
      <c r="I562" s="3"/>
      <c r="J562" s="3"/>
      <c r="K562" s="3"/>
      <c r="L562" s="3"/>
      <c r="M562" s="3"/>
      <c r="Y562" s="3"/>
    </row>
    <row r="563" spans="9:25" ht="12.75" x14ac:dyDescent="0.35">
      <c r="I563" s="3"/>
      <c r="J563" s="3"/>
      <c r="K563" s="3"/>
      <c r="L563" s="3"/>
      <c r="M563" s="3"/>
      <c r="Y563" s="3"/>
    </row>
    <row r="564" spans="9:25" ht="12.75" x14ac:dyDescent="0.35">
      <c r="I564" s="3"/>
      <c r="J564" s="3"/>
      <c r="K564" s="3"/>
      <c r="L564" s="3"/>
      <c r="M564" s="3"/>
      <c r="Y564" s="3"/>
    </row>
    <row r="565" spans="9:25" ht="12.75" x14ac:dyDescent="0.35">
      <c r="I565" s="3"/>
      <c r="J565" s="3"/>
      <c r="K565" s="3"/>
      <c r="L565" s="3"/>
      <c r="M565" s="3"/>
      <c r="Y565" s="3"/>
    </row>
    <row r="566" spans="9:25" ht="12.75" x14ac:dyDescent="0.35">
      <c r="I566" s="3"/>
      <c r="J566" s="3"/>
      <c r="K566" s="3"/>
      <c r="L566" s="3"/>
      <c r="M566" s="3"/>
      <c r="Y566" s="3"/>
    </row>
    <row r="567" spans="9:25" ht="12.75" x14ac:dyDescent="0.35">
      <c r="I567" s="3"/>
      <c r="J567" s="3"/>
      <c r="K567" s="3"/>
      <c r="L567" s="3"/>
      <c r="M567" s="3"/>
      <c r="Y567" s="3"/>
    </row>
    <row r="568" spans="9:25" ht="12.75" x14ac:dyDescent="0.35">
      <c r="I568" s="3"/>
      <c r="J568" s="3"/>
      <c r="K568" s="3"/>
      <c r="L568" s="3"/>
      <c r="M568" s="3"/>
      <c r="Y568" s="3"/>
    </row>
    <row r="569" spans="9:25" ht="12.75" x14ac:dyDescent="0.35">
      <c r="I569" s="3"/>
      <c r="J569" s="3"/>
      <c r="K569" s="3"/>
      <c r="L569" s="3"/>
      <c r="M569" s="3"/>
      <c r="Y569" s="3"/>
    </row>
    <row r="570" spans="9:25" ht="12.75" x14ac:dyDescent="0.35">
      <c r="I570" s="3"/>
      <c r="J570" s="3"/>
      <c r="K570" s="3"/>
      <c r="L570" s="3"/>
      <c r="M570" s="3"/>
      <c r="Y570" s="3"/>
    </row>
    <row r="571" spans="9:25" ht="12.75" x14ac:dyDescent="0.35">
      <c r="I571" s="3"/>
      <c r="J571" s="3"/>
      <c r="K571" s="3"/>
      <c r="L571" s="3"/>
      <c r="M571" s="3"/>
      <c r="Y571" s="3"/>
    </row>
    <row r="572" spans="9:25" ht="12.75" x14ac:dyDescent="0.35">
      <c r="I572" s="3"/>
      <c r="J572" s="3"/>
      <c r="K572" s="3"/>
      <c r="L572" s="3"/>
      <c r="M572" s="3"/>
      <c r="Y572" s="3"/>
    </row>
    <row r="573" spans="9:25" ht="12.75" x14ac:dyDescent="0.35">
      <c r="I573" s="3"/>
      <c r="J573" s="3"/>
      <c r="K573" s="3"/>
      <c r="L573" s="3"/>
      <c r="M573" s="3"/>
      <c r="Y573" s="3"/>
    </row>
    <row r="574" spans="9:25" ht="12.75" x14ac:dyDescent="0.35">
      <c r="I574" s="3"/>
      <c r="J574" s="3"/>
      <c r="K574" s="3"/>
      <c r="L574" s="3"/>
      <c r="M574" s="3"/>
      <c r="Y574" s="3"/>
    </row>
    <row r="575" spans="9:25" ht="12.75" x14ac:dyDescent="0.35">
      <c r="I575" s="3"/>
      <c r="J575" s="3"/>
      <c r="K575" s="3"/>
      <c r="L575" s="3"/>
      <c r="M575" s="3"/>
      <c r="Y575" s="3"/>
    </row>
    <row r="576" spans="9:25" ht="12.75" x14ac:dyDescent="0.35">
      <c r="I576" s="3"/>
      <c r="J576" s="3"/>
      <c r="K576" s="3"/>
      <c r="L576" s="3"/>
      <c r="M576" s="3"/>
      <c r="Y576" s="3"/>
    </row>
    <row r="577" spans="9:25" ht="12.75" x14ac:dyDescent="0.35">
      <c r="I577" s="3"/>
      <c r="J577" s="3"/>
      <c r="K577" s="3"/>
      <c r="L577" s="3"/>
      <c r="M577" s="3"/>
      <c r="Y577" s="3"/>
    </row>
    <row r="578" spans="9:25" ht="12.75" x14ac:dyDescent="0.35">
      <c r="I578" s="3"/>
      <c r="J578" s="3"/>
      <c r="K578" s="3"/>
      <c r="L578" s="3"/>
      <c r="M578" s="3"/>
      <c r="Y578" s="3"/>
    </row>
    <row r="579" spans="9:25" ht="12.75" x14ac:dyDescent="0.35">
      <c r="I579" s="3"/>
      <c r="J579" s="3"/>
      <c r="K579" s="3"/>
      <c r="L579" s="3"/>
      <c r="M579" s="3"/>
      <c r="Y579" s="3"/>
    </row>
    <row r="580" spans="9:25" ht="12.75" x14ac:dyDescent="0.35">
      <c r="I580" s="3"/>
      <c r="J580" s="3"/>
      <c r="K580" s="3"/>
      <c r="L580" s="3"/>
      <c r="M580" s="3"/>
      <c r="Y580" s="3"/>
    </row>
    <row r="581" spans="9:25" ht="12.75" x14ac:dyDescent="0.35">
      <c r="I581" s="3"/>
      <c r="J581" s="3"/>
      <c r="K581" s="3"/>
      <c r="L581" s="3"/>
      <c r="M581" s="3"/>
      <c r="Y581" s="3"/>
    </row>
    <row r="582" spans="9:25" ht="12.75" x14ac:dyDescent="0.35">
      <c r="I582" s="3"/>
      <c r="J582" s="3"/>
      <c r="K582" s="3"/>
      <c r="L582" s="3"/>
      <c r="M582" s="3"/>
      <c r="Y582" s="3"/>
    </row>
    <row r="583" spans="9:25" ht="12.75" x14ac:dyDescent="0.35">
      <c r="I583" s="3"/>
      <c r="J583" s="3"/>
      <c r="K583" s="3"/>
      <c r="L583" s="3"/>
      <c r="M583" s="3"/>
      <c r="Y583" s="3"/>
    </row>
    <row r="584" spans="9:25" ht="12.75" x14ac:dyDescent="0.35">
      <c r="I584" s="3"/>
      <c r="J584" s="3"/>
      <c r="K584" s="3"/>
      <c r="L584" s="3"/>
      <c r="M584" s="3"/>
      <c r="Y584" s="3"/>
    </row>
    <row r="585" spans="9:25" ht="12.75" x14ac:dyDescent="0.35">
      <c r="I585" s="3"/>
      <c r="J585" s="3"/>
      <c r="K585" s="3"/>
      <c r="L585" s="3"/>
      <c r="M585" s="3"/>
      <c r="Y585" s="3"/>
    </row>
    <row r="586" spans="9:25" ht="12.75" x14ac:dyDescent="0.35">
      <c r="I586" s="3"/>
      <c r="J586" s="3"/>
      <c r="K586" s="3"/>
      <c r="L586" s="3"/>
      <c r="M586" s="3"/>
      <c r="Y586" s="3"/>
    </row>
    <row r="587" spans="9:25" ht="12.75" x14ac:dyDescent="0.35">
      <c r="I587" s="3"/>
      <c r="J587" s="3"/>
      <c r="K587" s="3"/>
      <c r="L587" s="3"/>
      <c r="M587" s="3"/>
      <c r="Y587" s="3"/>
    </row>
    <row r="588" spans="9:25" ht="12.75" x14ac:dyDescent="0.35">
      <c r="I588" s="3"/>
      <c r="J588" s="3"/>
      <c r="K588" s="3"/>
      <c r="L588" s="3"/>
      <c r="M588" s="3"/>
      <c r="Y588" s="3"/>
    </row>
    <row r="589" spans="9:25" ht="12.75" x14ac:dyDescent="0.35">
      <c r="I589" s="3"/>
      <c r="J589" s="3"/>
      <c r="K589" s="3"/>
      <c r="L589" s="3"/>
      <c r="M589" s="3"/>
      <c r="Y589" s="3"/>
    </row>
    <row r="590" spans="9:25" ht="12.75" x14ac:dyDescent="0.35">
      <c r="I590" s="3"/>
      <c r="J590" s="3"/>
      <c r="K590" s="3"/>
      <c r="L590" s="3"/>
      <c r="M590" s="3"/>
      <c r="Y590" s="3"/>
    </row>
    <row r="591" spans="9:25" ht="12.75" x14ac:dyDescent="0.35">
      <c r="I591" s="3"/>
      <c r="J591" s="3"/>
      <c r="K591" s="3"/>
      <c r="L591" s="3"/>
      <c r="M591" s="3"/>
      <c r="Y591" s="3"/>
    </row>
    <row r="592" spans="9:25" ht="12.75" x14ac:dyDescent="0.35">
      <c r="I592" s="3"/>
      <c r="J592" s="3"/>
      <c r="K592" s="3"/>
      <c r="L592" s="3"/>
      <c r="M592" s="3"/>
      <c r="Y592" s="3"/>
    </row>
    <row r="593" spans="9:25" ht="12.75" x14ac:dyDescent="0.35">
      <c r="I593" s="3"/>
      <c r="J593" s="3"/>
      <c r="K593" s="3"/>
      <c r="L593" s="3"/>
      <c r="M593" s="3"/>
      <c r="Y593" s="3"/>
    </row>
    <row r="594" spans="9:25" ht="12.75" x14ac:dyDescent="0.35">
      <c r="I594" s="3"/>
      <c r="J594" s="3"/>
      <c r="K594" s="3"/>
      <c r="L594" s="3"/>
      <c r="M594" s="3"/>
      <c r="Y594" s="3"/>
    </row>
    <row r="595" spans="9:25" ht="12.75" x14ac:dyDescent="0.35">
      <c r="I595" s="3"/>
      <c r="J595" s="3"/>
      <c r="K595" s="3"/>
      <c r="L595" s="3"/>
      <c r="M595" s="3"/>
      <c r="Y595" s="3"/>
    </row>
    <row r="596" spans="9:25" ht="12.75" x14ac:dyDescent="0.35">
      <c r="I596" s="3"/>
      <c r="J596" s="3"/>
      <c r="K596" s="3"/>
      <c r="L596" s="3"/>
      <c r="M596" s="3"/>
      <c r="Y596" s="3"/>
    </row>
    <row r="597" spans="9:25" ht="12.75" x14ac:dyDescent="0.35">
      <c r="I597" s="3"/>
      <c r="J597" s="3"/>
      <c r="K597" s="3"/>
      <c r="L597" s="3"/>
      <c r="M597" s="3"/>
      <c r="Y597" s="3"/>
    </row>
    <row r="598" spans="9:25" ht="12.75" x14ac:dyDescent="0.35">
      <c r="I598" s="3"/>
      <c r="J598" s="3"/>
      <c r="K598" s="3"/>
      <c r="L598" s="3"/>
      <c r="M598" s="3"/>
      <c r="Y598" s="3"/>
    </row>
    <row r="599" spans="9:25" ht="12.75" x14ac:dyDescent="0.35">
      <c r="I599" s="3"/>
      <c r="J599" s="3"/>
      <c r="K599" s="3"/>
      <c r="L599" s="3"/>
      <c r="M599" s="3"/>
      <c r="Y599" s="3"/>
    </row>
    <row r="600" spans="9:25" ht="12.75" x14ac:dyDescent="0.35">
      <c r="I600" s="3"/>
      <c r="J600" s="3"/>
      <c r="K600" s="3"/>
      <c r="L600" s="3"/>
      <c r="M600" s="3"/>
      <c r="Y600" s="3"/>
    </row>
    <row r="601" spans="9:25" ht="12.75" x14ac:dyDescent="0.35">
      <c r="I601" s="3"/>
      <c r="J601" s="3"/>
      <c r="K601" s="3"/>
      <c r="L601" s="3"/>
      <c r="M601" s="3"/>
      <c r="Y601" s="3"/>
    </row>
    <row r="602" spans="9:25" ht="12.75" x14ac:dyDescent="0.35">
      <c r="I602" s="3"/>
      <c r="J602" s="3"/>
      <c r="K602" s="3"/>
      <c r="L602" s="3"/>
      <c r="M602" s="3"/>
      <c r="Y602" s="3"/>
    </row>
    <row r="603" spans="9:25" ht="12.75" x14ac:dyDescent="0.35">
      <c r="I603" s="3"/>
      <c r="J603" s="3"/>
      <c r="K603" s="3"/>
      <c r="L603" s="3"/>
      <c r="M603" s="3"/>
      <c r="Y603" s="3"/>
    </row>
    <row r="604" spans="9:25" ht="12.75" x14ac:dyDescent="0.35">
      <c r="I604" s="3"/>
      <c r="J604" s="3"/>
      <c r="K604" s="3"/>
      <c r="L604" s="3"/>
      <c r="M604" s="3"/>
      <c r="Y604" s="3"/>
    </row>
    <row r="605" spans="9:25" ht="12.75" x14ac:dyDescent="0.35">
      <c r="I605" s="3"/>
      <c r="J605" s="3"/>
      <c r="K605" s="3"/>
      <c r="L605" s="3"/>
      <c r="M605" s="3"/>
      <c r="Y605" s="3"/>
    </row>
    <row r="606" spans="9:25" ht="12.75" x14ac:dyDescent="0.35">
      <c r="I606" s="3"/>
      <c r="J606" s="3"/>
      <c r="K606" s="3"/>
      <c r="L606" s="3"/>
      <c r="M606" s="3"/>
      <c r="Y606" s="3"/>
    </row>
    <row r="607" spans="9:25" ht="12.75" x14ac:dyDescent="0.35">
      <c r="I607" s="3"/>
      <c r="J607" s="3"/>
      <c r="K607" s="3"/>
      <c r="L607" s="3"/>
      <c r="M607" s="3"/>
      <c r="Y607" s="3"/>
    </row>
    <row r="608" spans="9:25" ht="12.75" x14ac:dyDescent="0.35">
      <c r="I608" s="3"/>
      <c r="J608" s="3"/>
      <c r="K608" s="3"/>
      <c r="L608" s="3"/>
      <c r="M608" s="3"/>
      <c r="Y608" s="3"/>
    </row>
    <row r="609" spans="9:25" ht="12.75" x14ac:dyDescent="0.35">
      <c r="I609" s="3"/>
      <c r="J609" s="3"/>
      <c r="K609" s="3"/>
      <c r="L609" s="3"/>
      <c r="M609" s="3"/>
      <c r="Y609" s="3"/>
    </row>
    <row r="610" spans="9:25" ht="12.75" x14ac:dyDescent="0.35">
      <c r="I610" s="3"/>
      <c r="J610" s="3"/>
      <c r="K610" s="3"/>
      <c r="L610" s="3"/>
      <c r="M610" s="3"/>
      <c r="Y610" s="3"/>
    </row>
    <row r="611" spans="9:25" ht="12.75" x14ac:dyDescent="0.35">
      <c r="I611" s="3"/>
      <c r="J611" s="3"/>
      <c r="K611" s="3"/>
      <c r="L611" s="3"/>
      <c r="M611" s="3"/>
      <c r="Y611" s="3"/>
    </row>
    <row r="612" spans="9:25" ht="12.75" x14ac:dyDescent="0.35">
      <c r="I612" s="3"/>
      <c r="J612" s="3"/>
      <c r="K612" s="3"/>
      <c r="L612" s="3"/>
      <c r="M612" s="3"/>
      <c r="Y612" s="3"/>
    </row>
    <row r="613" spans="9:25" ht="12.75" x14ac:dyDescent="0.35">
      <c r="I613" s="3"/>
      <c r="J613" s="3"/>
      <c r="K613" s="3"/>
      <c r="L613" s="3"/>
      <c r="M613" s="3"/>
      <c r="Y613" s="3"/>
    </row>
    <row r="614" spans="9:25" ht="12.75" x14ac:dyDescent="0.35">
      <c r="I614" s="3"/>
      <c r="J614" s="3"/>
      <c r="K614" s="3"/>
      <c r="L614" s="3"/>
      <c r="M614" s="3"/>
      <c r="Y614" s="3"/>
    </row>
    <row r="615" spans="9:25" ht="12.75" x14ac:dyDescent="0.35">
      <c r="I615" s="3"/>
      <c r="J615" s="3"/>
      <c r="K615" s="3"/>
      <c r="L615" s="3"/>
      <c r="M615" s="3"/>
      <c r="Y615" s="3"/>
    </row>
    <row r="616" spans="9:25" ht="12.75" x14ac:dyDescent="0.35">
      <c r="I616" s="3"/>
      <c r="J616" s="3"/>
      <c r="K616" s="3"/>
      <c r="L616" s="3"/>
      <c r="M616" s="3"/>
      <c r="Y616" s="3"/>
    </row>
    <row r="617" spans="9:25" ht="12.75" x14ac:dyDescent="0.35">
      <c r="I617" s="3"/>
      <c r="J617" s="3"/>
      <c r="K617" s="3"/>
      <c r="L617" s="3"/>
      <c r="M617" s="3"/>
      <c r="Y617" s="3"/>
    </row>
    <row r="618" spans="9:25" ht="12.75" x14ac:dyDescent="0.35">
      <c r="I618" s="3"/>
      <c r="J618" s="3"/>
      <c r="K618" s="3"/>
      <c r="L618" s="3"/>
      <c r="M618" s="3"/>
      <c r="Y618" s="3"/>
    </row>
    <row r="619" spans="9:25" ht="12.75" x14ac:dyDescent="0.35">
      <c r="I619" s="3"/>
      <c r="J619" s="3"/>
      <c r="K619" s="3"/>
      <c r="L619" s="3"/>
      <c r="M619" s="3"/>
      <c r="Y619" s="3"/>
    </row>
    <row r="620" spans="9:25" ht="12.75" x14ac:dyDescent="0.35">
      <c r="I620" s="3"/>
      <c r="J620" s="3"/>
      <c r="K620" s="3"/>
      <c r="L620" s="3"/>
      <c r="M620" s="3"/>
      <c r="Y620" s="3"/>
    </row>
    <row r="621" spans="9:25" ht="12.75" x14ac:dyDescent="0.35">
      <c r="I621" s="3"/>
      <c r="J621" s="3"/>
      <c r="K621" s="3"/>
      <c r="L621" s="3"/>
      <c r="M621" s="3"/>
      <c r="Y621" s="3"/>
    </row>
    <row r="622" spans="9:25" ht="12.75" x14ac:dyDescent="0.35">
      <c r="I622" s="3"/>
      <c r="J622" s="3"/>
      <c r="K622" s="3"/>
      <c r="L622" s="3"/>
      <c r="M622" s="3"/>
      <c r="Y622" s="3"/>
    </row>
    <row r="623" spans="9:25" ht="12.75" x14ac:dyDescent="0.35">
      <c r="I623" s="3"/>
      <c r="J623" s="3"/>
      <c r="K623" s="3"/>
      <c r="L623" s="3"/>
      <c r="M623" s="3"/>
      <c r="Y623" s="3"/>
    </row>
    <row r="624" spans="9:25" ht="12.75" x14ac:dyDescent="0.35">
      <c r="I624" s="3"/>
      <c r="J624" s="3"/>
      <c r="K624" s="3"/>
      <c r="L624" s="3"/>
      <c r="M624" s="3"/>
      <c r="Y624" s="3"/>
    </row>
    <row r="625" spans="9:25" ht="12.75" x14ac:dyDescent="0.35">
      <c r="I625" s="3"/>
      <c r="J625" s="3"/>
      <c r="K625" s="3"/>
      <c r="L625" s="3"/>
      <c r="M625" s="3"/>
      <c r="Y625" s="3"/>
    </row>
    <row r="626" spans="9:25" ht="12.75" x14ac:dyDescent="0.35">
      <c r="I626" s="3"/>
      <c r="J626" s="3"/>
      <c r="K626" s="3"/>
      <c r="L626" s="3"/>
      <c r="M626" s="3"/>
      <c r="Y626" s="3"/>
    </row>
    <row r="627" spans="9:25" ht="12.75" x14ac:dyDescent="0.35">
      <c r="I627" s="3"/>
      <c r="J627" s="3"/>
      <c r="K627" s="3"/>
      <c r="L627" s="3"/>
      <c r="M627" s="3"/>
      <c r="Y627" s="3"/>
    </row>
    <row r="628" spans="9:25" ht="12.75" x14ac:dyDescent="0.35">
      <c r="I628" s="3"/>
      <c r="J628" s="3"/>
      <c r="K628" s="3"/>
      <c r="L628" s="3"/>
      <c r="M628" s="3"/>
      <c r="Y628" s="3"/>
    </row>
    <row r="629" spans="9:25" ht="12.75" x14ac:dyDescent="0.35">
      <c r="I629" s="3"/>
      <c r="J629" s="3"/>
      <c r="K629" s="3"/>
      <c r="L629" s="3"/>
      <c r="M629" s="3"/>
      <c r="Y629" s="3"/>
    </row>
    <row r="630" spans="9:25" ht="12.75" x14ac:dyDescent="0.35">
      <c r="I630" s="3"/>
      <c r="J630" s="3"/>
      <c r="K630" s="3"/>
      <c r="L630" s="3"/>
      <c r="M630" s="3"/>
      <c r="Y630" s="3"/>
    </row>
    <row r="631" spans="9:25" ht="12.75" x14ac:dyDescent="0.35">
      <c r="I631" s="3"/>
      <c r="J631" s="3"/>
      <c r="K631" s="3"/>
      <c r="L631" s="3"/>
      <c r="M631" s="3"/>
      <c r="Y631" s="3"/>
    </row>
    <row r="632" spans="9:25" ht="12.75" x14ac:dyDescent="0.35">
      <c r="I632" s="3"/>
      <c r="J632" s="3"/>
      <c r="K632" s="3"/>
      <c r="L632" s="3"/>
      <c r="M632" s="3"/>
      <c r="Y632" s="3"/>
    </row>
    <row r="633" spans="9:25" ht="12.75" x14ac:dyDescent="0.35">
      <c r="I633" s="3"/>
      <c r="J633" s="3"/>
      <c r="K633" s="3"/>
      <c r="L633" s="3"/>
      <c r="M633" s="3"/>
      <c r="Y633" s="3"/>
    </row>
    <row r="634" spans="9:25" ht="12.75" x14ac:dyDescent="0.35">
      <c r="I634" s="3"/>
      <c r="J634" s="3"/>
      <c r="K634" s="3"/>
      <c r="L634" s="3"/>
      <c r="M634" s="3"/>
      <c r="Y634" s="3"/>
    </row>
    <row r="635" spans="9:25" ht="12.75" x14ac:dyDescent="0.35">
      <c r="I635" s="3"/>
      <c r="J635" s="3"/>
      <c r="K635" s="3"/>
      <c r="L635" s="3"/>
      <c r="M635" s="3"/>
      <c r="Y635" s="3"/>
    </row>
    <row r="636" spans="9:25" ht="12.75" x14ac:dyDescent="0.35">
      <c r="I636" s="3"/>
      <c r="J636" s="3"/>
      <c r="K636" s="3"/>
      <c r="L636" s="3"/>
      <c r="M636" s="3"/>
      <c r="Y636" s="3"/>
    </row>
    <row r="637" spans="9:25" ht="12.75" x14ac:dyDescent="0.35">
      <c r="I637" s="3"/>
      <c r="J637" s="3"/>
      <c r="K637" s="3"/>
      <c r="L637" s="3"/>
      <c r="M637" s="3"/>
      <c r="Y637" s="3"/>
    </row>
    <row r="638" spans="9:25" ht="12.75" x14ac:dyDescent="0.35">
      <c r="I638" s="3"/>
      <c r="J638" s="3"/>
      <c r="K638" s="3"/>
      <c r="L638" s="3"/>
      <c r="M638" s="3"/>
      <c r="Y638" s="3"/>
    </row>
    <row r="639" spans="9:25" ht="12.75" x14ac:dyDescent="0.35">
      <c r="I639" s="3"/>
      <c r="J639" s="3"/>
      <c r="K639" s="3"/>
      <c r="L639" s="3"/>
      <c r="M639" s="3"/>
      <c r="Y639" s="3"/>
    </row>
    <row r="640" spans="9:25" ht="12.75" x14ac:dyDescent="0.35">
      <c r="I640" s="3"/>
      <c r="J640" s="3"/>
      <c r="K640" s="3"/>
      <c r="L640" s="3"/>
      <c r="M640" s="3"/>
      <c r="Y640" s="3"/>
    </row>
    <row r="641" spans="9:25" ht="12.75" x14ac:dyDescent="0.35">
      <c r="I641" s="3"/>
      <c r="J641" s="3"/>
      <c r="K641" s="3"/>
      <c r="L641" s="3"/>
      <c r="M641" s="3"/>
      <c r="Y641" s="3"/>
    </row>
    <row r="642" spans="9:25" ht="12.75" x14ac:dyDescent="0.35">
      <c r="I642" s="3"/>
      <c r="J642" s="3"/>
      <c r="K642" s="3"/>
      <c r="L642" s="3"/>
      <c r="M642" s="3"/>
      <c r="Y642" s="3"/>
    </row>
    <row r="643" spans="9:25" ht="12.75" x14ac:dyDescent="0.35">
      <c r="I643" s="3"/>
      <c r="J643" s="3"/>
      <c r="K643" s="3"/>
      <c r="L643" s="3"/>
      <c r="M643" s="3"/>
      <c r="Y643" s="3"/>
    </row>
    <row r="644" spans="9:25" ht="12.75" x14ac:dyDescent="0.35">
      <c r="I644" s="3"/>
      <c r="J644" s="3"/>
      <c r="K644" s="3"/>
      <c r="L644" s="3"/>
      <c r="M644" s="3"/>
      <c r="Y644" s="3"/>
    </row>
    <row r="645" spans="9:25" ht="12.75" x14ac:dyDescent="0.35">
      <c r="I645" s="3"/>
      <c r="J645" s="3"/>
      <c r="K645" s="3"/>
      <c r="L645" s="3"/>
      <c r="M645" s="3"/>
      <c r="Y645" s="3"/>
    </row>
    <row r="646" spans="9:25" ht="12.75" x14ac:dyDescent="0.35">
      <c r="I646" s="3"/>
      <c r="J646" s="3"/>
      <c r="K646" s="3"/>
      <c r="L646" s="3"/>
      <c r="M646" s="3"/>
      <c r="Y646" s="3"/>
    </row>
    <row r="647" spans="9:25" ht="12.75" x14ac:dyDescent="0.35">
      <c r="I647" s="3"/>
      <c r="J647" s="3"/>
      <c r="K647" s="3"/>
      <c r="L647" s="3"/>
      <c r="M647" s="3"/>
      <c r="Y647" s="3"/>
    </row>
    <row r="648" spans="9:25" ht="12.75" x14ac:dyDescent="0.35">
      <c r="I648" s="3"/>
      <c r="J648" s="3"/>
      <c r="K648" s="3"/>
      <c r="L648" s="3"/>
      <c r="M648" s="3"/>
      <c r="Y648" s="3"/>
    </row>
    <row r="649" spans="9:25" ht="12.75" x14ac:dyDescent="0.35">
      <c r="I649" s="3"/>
      <c r="J649" s="3"/>
      <c r="K649" s="3"/>
      <c r="L649" s="3"/>
      <c r="M649" s="3"/>
      <c r="Y649" s="3"/>
    </row>
    <row r="650" spans="9:25" ht="12.75" x14ac:dyDescent="0.35">
      <c r="I650" s="3"/>
      <c r="J650" s="3"/>
      <c r="K650" s="3"/>
      <c r="L650" s="3"/>
      <c r="M650" s="3"/>
      <c r="Y650" s="3"/>
    </row>
    <row r="651" spans="9:25" ht="12.75" x14ac:dyDescent="0.35">
      <c r="I651" s="3"/>
      <c r="J651" s="3"/>
      <c r="K651" s="3"/>
      <c r="L651" s="3"/>
      <c r="M651" s="3"/>
      <c r="Y651" s="3"/>
    </row>
    <row r="652" spans="9:25" ht="12.75" x14ac:dyDescent="0.35">
      <c r="I652" s="3"/>
      <c r="J652" s="3"/>
      <c r="K652" s="3"/>
      <c r="L652" s="3"/>
      <c r="M652" s="3"/>
      <c r="Y652" s="3"/>
    </row>
    <row r="653" spans="9:25" ht="12.75" x14ac:dyDescent="0.35">
      <c r="I653" s="3"/>
      <c r="J653" s="3"/>
      <c r="K653" s="3"/>
      <c r="L653" s="3"/>
      <c r="M653" s="3"/>
      <c r="Y653" s="3"/>
    </row>
    <row r="654" spans="9:25" ht="12.75" x14ac:dyDescent="0.35">
      <c r="I654" s="3"/>
      <c r="J654" s="3"/>
      <c r="K654" s="3"/>
      <c r="L654" s="3"/>
      <c r="M654" s="3"/>
      <c r="Y654" s="3"/>
    </row>
    <row r="655" spans="9:25" ht="12.75" x14ac:dyDescent="0.35">
      <c r="I655" s="3"/>
      <c r="J655" s="3"/>
      <c r="K655" s="3"/>
      <c r="L655" s="3"/>
      <c r="M655" s="3"/>
      <c r="Y655" s="3"/>
    </row>
    <row r="656" spans="9:25" ht="12.75" x14ac:dyDescent="0.35">
      <c r="I656" s="3"/>
      <c r="J656" s="3"/>
      <c r="K656" s="3"/>
      <c r="L656" s="3"/>
      <c r="M656" s="3"/>
      <c r="Y656" s="3"/>
    </row>
    <row r="657" spans="9:25" ht="12.75" x14ac:dyDescent="0.35">
      <c r="I657" s="3"/>
      <c r="J657" s="3"/>
      <c r="K657" s="3"/>
      <c r="L657" s="3"/>
      <c r="M657" s="3"/>
      <c r="Y657" s="3"/>
    </row>
    <row r="658" spans="9:25" ht="12.75" x14ac:dyDescent="0.35">
      <c r="I658" s="3"/>
      <c r="J658" s="3"/>
      <c r="K658" s="3"/>
      <c r="L658" s="3"/>
      <c r="M658" s="3"/>
      <c r="Y658" s="3"/>
    </row>
    <row r="659" spans="9:25" ht="12.75" x14ac:dyDescent="0.35">
      <c r="I659" s="3"/>
      <c r="J659" s="3"/>
      <c r="K659" s="3"/>
      <c r="L659" s="3"/>
      <c r="M659" s="3"/>
      <c r="Y659" s="3"/>
    </row>
    <row r="660" spans="9:25" ht="12.75" x14ac:dyDescent="0.35">
      <c r="I660" s="3"/>
      <c r="J660" s="3"/>
      <c r="K660" s="3"/>
      <c r="L660" s="3"/>
      <c r="M660" s="3"/>
      <c r="Y660" s="3"/>
    </row>
    <row r="661" spans="9:25" ht="12.75" x14ac:dyDescent="0.35">
      <c r="I661" s="3"/>
      <c r="J661" s="3"/>
      <c r="K661" s="3"/>
      <c r="L661" s="3"/>
      <c r="M661" s="3"/>
      <c r="Y661" s="3"/>
    </row>
    <row r="662" spans="9:25" ht="12.75" x14ac:dyDescent="0.35">
      <c r="I662" s="3"/>
      <c r="J662" s="3"/>
      <c r="K662" s="3"/>
      <c r="L662" s="3"/>
      <c r="M662" s="3"/>
      <c r="Y662" s="3"/>
    </row>
    <row r="663" spans="9:25" ht="12.75" x14ac:dyDescent="0.35">
      <c r="I663" s="3"/>
      <c r="J663" s="3"/>
      <c r="K663" s="3"/>
      <c r="L663" s="3"/>
      <c r="M663" s="3"/>
      <c r="Y663" s="3"/>
    </row>
    <row r="664" spans="9:25" ht="12.75" x14ac:dyDescent="0.35">
      <c r="I664" s="3"/>
      <c r="J664" s="3"/>
      <c r="K664" s="3"/>
      <c r="L664" s="3"/>
      <c r="M664" s="3"/>
      <c r="Y664" s="3"/>
    </row>
    <row r="665" spans="9:25" ht="12.75" x14ac:dyDescent="0.35">
      <c r="I665" s="3"/>
      <c r="J665" s="3"/>
      <c r="K665" s="3"/>
      <c r="L665" s="3"/>
      <c r="M665" s="3"/>
      <c r="Y665" s="3"/>
    </row>
    <row r="666" spans="9:25" ht="12.75" x14ac:dyDescent="0.35">
      <c r="I666" s="3"/>
      <c r="J666" s="3"/>
      <c r="K666" s="3"/>
      <c r="L666" s="3"/>
      <c r="M666" s="3"/>
      <c r="Y666" s="3"/>
    </row>
    <row r="667" spans="9:25" ht="12.75" x14ac:dyDescent="0.35">
      <c r="I667" s="3"/>
      <c r="J667" s="3"/>
      <c r="K667" s="3"/>
      <c r="L667" s="3"/>
      <c r="M667" s="3"/>
      <c r="Y667" s="3"/>
    </row>
    <row r="668" spans="9:25" ht="12.75" x14ac:dyDescent="0.35">
      <c r="I668" s="3"/>
      <c r="J668" s="3"/>
      <c r="K668" s="3"/>
      <c r="L668" s="3"/>
      <c r="M668" s="3"/>
      <c r="Y668" s="3"/>
    </row>
    <row r="669" spans="9:25" ht="12.75" x14ac:dyDescent="0.35">
      <c r="I669" s="3"/>
      <c r="J669" s="3"/>
      <c r="K669" s="3"/>
      <c r="L669" s="3"/>
      <c r="M669" s="3"/>
      <c r="Y669" s="3"/>
    </row>
    <row r="670" spans="9:25" ht="12.75" x14ac:dyDescent="0.35">
      <c r="I670" s="3"/>
      <c r="J670" s="3"/>
      <c r="K670" s="3"/>
      <c r="L670" s="3"/>
      <c r="M670" s="3"/>
      <c r="Y670" s="3"/>
    </row>
    <row r="671" spans="9:25" ht="12.75" x14ac:dyDescent="0.35">
      <c r="I671" s="3"/>
      <c r="J671" s="3"/>
      <c r="K671" s="3"/>
      <c r="L671" s="3"/>
      <c r="M671" s="3"/>
      <c r="Y671" s="3"/>
    </row>
    <row r="672" spans="9:25" ht="12.75" x14ac:dyDescent="0.35">
      <c r="I672" s="3"/>
      <c r="J672" s="3"/>
      <c r="K672" s="3"/>
      <c r="L672" s="3"/>
      <c r="M672" s="3"/>
      <c r="Y672" s="3"/>
    </row>
    <row r="673" spans="9:25" ht="12.75" x14ac:dyDescent="0.35">
      <c r="I673" s="3"/>
      <c r="J673" s="3"/>
      <c r="K673" s="3"/>
      <c r="L673" s="3"/>
      <c r="M673" s="3"/>
      <c r="Y673" s="3"/>
    </row>
    <row r="674" spans="9:25" ht="12.75" x14ac:dyDescent="0.35">
      <c r="I674" s="3"/>
      <c r="J674" s="3"/>
      <c r="K674" s="3"/>
      <c r="L674" s="3"/>
      <c r="M674" s="3"/>
      <c r="Y674" s="3"/>
    </row>
    <row r="675" spans="9:25" ht="12.75" x14ac:dyDescent="0.35">
      <c r="I675" s="3"/>
      <c r="J675" s="3"/>
      <c r="K675" s="3"/>
      <c r="L675" s="3"/>
      <c r="M675" s="3"/>
      <c r="Y675" s="3"/>
    </row>
    <row r="676" spans="9:25" ht="12.75" x14ac:dyDescent="0.35">
      <c r="I676" s="3"/>
      <c r="J676" s="3"/>
      <c r="K676" s="3"/>
      <c r="L676" s="3"/>
      <c r="M676" s="3"/>
      <c r="Y676" s="3"/>
    </row>
    <row r="677" spans="9:25" ht="12.75" x14ac:dyDescent="0.35">
      <c r="I677" s="3"/>
      <c r="J677" s="3"/>
      <c r="K677" s="3"/>
      <c r="L677" s="3"/>
      <c r="M677" s="3"/>
      <c r="Y677" s="3"/>
    </row>
    <row r="678" spans="9:25" ht="12.75" x14ac:dyDescent="0.35">
      <c r="I678" s="3"/>
      <c r="J678" s="3"/>
      <c r="K678" s="3"/>
      <c r="L678" s="3"/>
      <c r="M678" s="3"/>
      <c r="Y678" s="3"/>
    </row>
    <row r="679" spans="9:25" ht="12.75" x14ac:dyDescent="0.35">
      <c r="I679" s="3"/>
      <c r="J679" s="3"/>
      <c r="K679" s="3"/>
      <c r="L679" s="3"/>
      <c r="M679" s="3"/>
      <c r="Y679" s="3"/>
    </row>
    <row r="680" spans="9:25" ht="12.75" x14ac:dyDescent="0.35">
      <c r="I680" s="3"/>
      <c r="J680" s="3"/>
      <c r="K680" s="3"/>
      <c r="L680" s="3"/>
      <c r="M680" s="3"/>
      <c r="Y680" s="3"/>
    </row>
    <row r="681" spans="9:25" ht="12.75" x14ac:dyDescent="0.35">
      <c r="I681" s="3"/>
      <c r="J681" s="3"/>
      <c r="K681" s="3"/>
      <c r="L681" s="3"/>
      <c r="M681" s="3"/>
      <c r="Y681" s="3"/>
    </row>
    <row r="682" spans="9:25" ht="12.75" x14ac:dyDescent="0.35">
      <c r="I682" s="3"/>
      <c r="J682" s="3"/>
      <c r="K682" s="3"/>
      <c r="L682" s="3"/>
      <c r="M682" s="3"/>
      <c r="Y682" s="3"/>
    </row>
    <row r="683" spans="9:25" ht="12.75" x14ac:dyDescent="0.35">
      <c r="I683" s="3"/>
      <c r="J683" s="3"/>
      <c r="K683" s="3"/>
      <c r="L683" s="3"/>
      <c r="M683" s="3"/>
      <c r="Y683" s="3"/>
    </row>
    <row r="684" spans="9:25" ht="12.75" x14ac:dyDescent="0.35">
      <c r="I684" s="3"/>
      <c r="J684" s="3"/>
      <c r="K684" s="3"/>
      <c r="L684" s="3"/>
      <c r="M684" s="3"/>
      <c r="Y684" s="3"/>
    </row>
    <row r="685" spans="9:25" ht="12.75" x14ac:dyDescent="0.35">
      <c r="I685" s="3"/>
      <c r="J685" s="3"/>
      <c r="K685" s="3"/>
      <c r="L685" s="3"/>
      <c r="M685" s="3"/>
      <c r="Y685" s="3"/>
    </row>
    <row r="686" spans="9:25" ht="12.75" x14ac:dyDescent="0.35">
      <c r="I686" s="3"/>
      <c r="J686" s="3"/>
      <c r="K686" s="3"/>
      <c r="L686" s="3"/>
      <c r="M686" s="3"/>
      <c r="Y686" s="3"/>
    </row>
    <row r="687" spans="9:25" ht="12.75" x14ac:dyDescent="0.35">
      <c r="I687" s="3"/>
      <c r="J687" s="3"/>
      <c r="K687" s="3"/>
      <c r="L687" s="3"/>
      <c r="M687" s="3"/>
      <c r="Y687" s="3"/>
    </row>
    <row r="688" spans="9:25" ht="12.75" x14ac:dyDescent="0.35">
      <c r="I688" s="3"/>
      <c r="J688" s="3"/>
      <c r="K688" s="3"/>
      <c r="L688" s="3"/>
      <c r="M688" s="3"/>
      <c r="Y688" s="3"/>
    </row>
    <row r="689" spans="9:25" ht="12.75" x14ac:dyDescent="0.35">
      <c r="I689" s="3"/>
      <c r="J689" s="3"/>
      <c r="K689" s="3"/>
      <c r="L689" s="3"/>
      <c r="M689" s="3"/>
      <c r="Y689" s="3"/>
    </row>
    <row r="690" spans="9:25" ht="12.75" x14ac:dyDescent="0.35">
      <c r="I690" s="3"/>
      <c r="J690" s="3"/>
      <c r="K690" s="3"/>
      <c r="L690" s="3"/>
      <c r="M690" s="3"/>
      <c r="Y690" s="3"/>
    </row>
    <row r="691" spans="9:25" ht="12.75" x14ac:dyDescent="0.35">
      <c r="I691" s="3"/>
      <c r="J691" s="3"/>
      <c r="K691" s="3"/>
      <c r="L691" s="3"/>
      <c r="M691" s="3"/>
      <c r="Y691" s="3"/>
    </row>
    <row r="692" spans="9:25" ht="12.75" x14ac:dyDescent="0.35">
      <c r="I692" s="3"/>
      <c r="J692" s="3"/>
      <c r="K692" s="3"/>
      <c r="L692" s="3"/>
      <c r="M692" s="3"/>
      <c r="Y692" s="3"/>
    </row>
    <row r="693" spans="9:25" ht="12.75" x14ac:dyDescent="0.35">
      <c r="I693" s="3"/>
      <c r="J693" s="3"/>
      <c r="K693" s="3"/>
      <c r="L693" s="3"/>
      <c r="M693" s="3"/>
      <c r="Y693" s="3"/>
    </row>
    <row r="694" spans="9:25" ht="12.75" x14ac:dyDescent="0.35">
      <c r="I694" s="3"/>
      <c r="J694" s="3"/>
      <c r="K694" s="3"/>
      <c r="L694" s="3"/>
      <c r="M694" s="3"/>
      <c r="Y694" s="3"/>
    </row>
    <row r="695" spans="9:25" ht="12.75" x14ac:dyDescent="0.35">
      <c r="I695" s="3"/>
      <c r="J695" s="3"/>
      <c r="K695" s="3"/>
      <c r="L695" s="3"/>
      <c r="M695" s="3"/>
      <c r="Y695" s="3"/>
    </row>
    <row r="696" spans="9:25" ht="12.75" x14ac:dyDescent="0.35">
      <c r="I696" s="3"/>
      <c r="J696" s="3"/>
      <c r="K696" s="3"/>
      <c r="L696" s="3"/>
      <c r="M696" s="3"/>
      <c r="Y696" s="3"/>
    </row>
    <row r="697" spans="9:25" ht="12.75" x14ac:dyDescent="0.35">
      <c r="I697" s="3"/>
      <c r="J697" s="3"/>
      <c r="K697" s="3"/>
      <c r="L697" s="3"/>
      <c r="M697" s="3"/>
      <c r="Y697" s="3"/>
    </row>
    <row r="698" spans="9:25" ht="12.75" x14ac:dyDescent="0.35">
      <c r="I698" s="3"/>
      <c r="J698" s="3"/>
      <c r="K698" s="3"/>
      <c r="L698" s="3"/>
      <c r="M698" s="3"/>
      <c r="Y698" s="3"/>
    </row>
    <row r="699" spans="9:25" ht="12.75" x14ac:dyDescent="0.35">
      <c r="I699" s="3"/>
      <c r="J699" s="3"/>
      <c r="K699" s="3"/>
      <c r="L699" s="3"/>
      <c r="M699" s="3"/>
      <c r="Y699" s="3"/>
    </row>
    <row r="700" spans="9:25" ht="12.75" x14ac:dyDescent="0.35">
      <c r="I700" s="3"/>
      <c r="J700" s="3"/>
      <c r="K700" s="3"/>
      <c r="L700" s="3"/>
      <c r="M700" s="3"/>
      <c r="Y700" s="3"/>
    </row>
    <row r="701" spans="9:25" ht="12.75" x14ac:dyDescent="0.35">
      <c r="I701" s="3"/>
      <c r="J701" s="3"/>
      <c r="K701" s="3"/>
      <c r="L701" s="3"/>
      <c r="M701" s="3"/>
      <c r="Y701" s="3"/>
    </row>
    <row r="702" spans="9:25" ht="12.75" x14ac:dyDescent="0.35">
      <c r="I702" s="3"/>
      <c r="J702" s="3"/>
      <c r="K702" s="3"/>
      <c r="L702" s="3"/>
      <c r="M702" s="3"/>
      <c r="Y702" s="3"/>
    </row>
    <row r="703" spans="9:25" ht="12.75" x14ac:dyDescent="0.35">
      <c r="I703" s="3"/>
      <c r="J703" s="3"/>
      <c r="K703" s="3"/>
      <c r="L703" s="3"/>
      <c r="M703" s="3"/>
      <c r="Y703" s="3"/>
    </row>
    <row r="704" spans="9:25" ht="12.75" x14ac:dyDescent="0.35">
      <c r="I704" s="3"/>
      <c r="J704" s="3"/>
      <c r="K704" s="3"/>
      <c r="L704" s="3"/>
      <c r="M704" s="3"/>
      <c r="Y704" s="3"/>
    </row>
    <row r="705" spans="9:25" ht="12.75" x14ac:dyDescent="0.35">
      <c r="I705" s="3"/>
      <c r="J705" s="3"/>
      <c r="K705" s="3"/>
      <c r="L705" s="3"/>
      <c r="M705" s="3"/>
      <c r="Y705" s="3"/>
    </row>
    <row r="706" spans="9:25" ht="12.75" x14ac:dyDescent="0.35">
      <c r="I706" s="3"/>
      <c r="J706" s="3"/>
      <c r="K706" s="3"/>
      <c r="L706" s="3"/>
      <c r="M706" s="3"/>
      <c r="Y706" s="3"/>
    </row>
    <row r="707" spans="9:25" ht="12.75" x14ac:dyDescent="0.35">
      <c r="I707" s="3"/>
      <c r="J707" s="3"/>
      <c r="K707" s="3"/>
      <c r="L707" s="3"/>
      <c r="M707" s="3"/>
      <c r="Y707" s="3"/>
    </row>
    <row r="708" spans="9:25" ht="12.75" x14ac:dyDescent="0.35">
      <c r="I708" s="3"/>
      <c r="J708" s="3"/>
      <c r="K708" s="3"/>
      <c r="L708" s="3"/>
      <c r="M708" s="3"/>
      <c r="Y708" s="3"/>
    </row>
    <row r="709" spans="9:25" ht="12.75" x14ac:dyDescent="0.35">
      <c r="I709" s="3"/>
      <c r="J709" s="3"/>
      <c r="K709" s="3"/>
      <c r="L709" s="3"/>
      <c r="M709" s="3"/>
      <c r="Y709" s="3"/>
    </row>
    <row r="710" spans="9:25" ht="12.75" x14ac:dyDescent="0.35">
      <c r="I710" s="3"/>
      <c r="J710" s="3"/>
      <c r="K710" s="3"/>
      <c r="L710" s="3"/>
      <c r="M710" s="3"/>
      <c r="Y710" s="3"/>
    </row>
    <row r="711" spans="9:25" ht="12.75" x14ac:dyDescent="0.35">
      <c r="I711" s="3"/>
      <c r="J711" s="3"/>
      <c r="K711" s="3"/>
      <c r="L711" s="3"/>
      <c r="M711" s="3"/>
      <c r="Y711" s="3"/>
    </row>
    <row r="712" spans="9:25" ht="12.75" x14ac:dyDescent="0.35">
      <c r="I712" s="3"/>
      <c r="J712" s="3"/>
      <c r="K712" s="3"/>
      <c r="L712" s="3"/>
      <c r="M712" s="3"/>
      <c r="Y712" s="3"/>
    </row>
    <row r="713" spans="9:25" ht="12.75" x14ac:dyDescent="0.35">
      <c r="I713" s="3"/>
      <c r="J713" s="3"/>
      <c r="K713" s="3"/>
      <c r="L713" s="3"/>
      <c r="M713" s="3"/>
      <c r="Y713" s="3"/>
    </row>
    <row r="714" spans="9:25" ht="12.75" x14ac:dyDescent="0.35">
      <c r="I714" s="3"/>
      <c r="J714" s="3"/>
      <c r="K714" s="3"/>
      <c r="L714" s="3"/>
      <c r="M714" s="3"/>
      <c r="Y714" s="3"/>
    </row>
    <row r="715" spans="9:25" ht="12.75" x14ac:dyDescent="0.35">
      <c r="I715" s="3"/>
      <c r="J715" s="3"/>
      <c r="K715" s="3"/>
      <c r="L715" s="3"/>
      <c r="M715" s="3"/>
      <c r="Y715" s="3"/>
    </row>
    <row r="716" spans="9:25" ht="12.75" x14ac:dyDescent="0.35">
      <c r="I716" s="3"/>
      <c r="J716" s="3"/>
      <c r="K716" s="3"/>
      <c r="L716" s="3"/>
      <c r="M716" s="3"/>
      <c r="Y716" s="3"/>
    </row>
    <row r="717" spans="9:25" ht="12.75" x14ac:dyDescent="0.35">
      <c r="I717" s="3"/>
      <c r="J717" s="3"/>
      <c r="K717" s="3"/>
      <c r="L717" s="3"/>
      <c r="M717" s="3"/>
      <c r="Y717" s="3"/>
    </row>
    <row r="718" spans="9:25" ht="12.75" x14ac:dyDescent="0.35">
      <c r="I718" s="3"/>
      <c r="J718" s="3"/>
      <c r="K718" s="3"/>
      <c r="L718" s="3"/>
      <c r="M718" s="3"/>
      <c r="Y718" s="3"/>
    </row>
    <row r="719" spans="9:25" ht="12.75" x14ac:dyDescent="0.35">
      <c r="I719" s="3"/>
      <c r="J719" s="3"/>
      <c r="K719" s="3"/>
      <c r="L719" s="3"/>
      <c r="M719" s="3"/>
      <c r="Y719" s="3"/>
    </row>
    <row r="720" spans="9:25" ht="12.75" x14ac:dyDescent="0.35">
      <c r="I720" s="3"/>
      <c r="J720" s="3"/>
      <c r="K720" s="3"/>
      <c r="L720" s="3"/>
      <c r="M720" s="3"/>
      <c r="Y720" s="3"/>
    </row>
    <row r="721" spans="9:25" ht="12.75" x14ac:dyDescent="0.35">
      <c r="I721" s="3"/>
      <c r="J721" s="3"/>
      <c r="K721" s="3"/>
      <c r="L721" s="3"/>
      <c r="M721" s="3"/>
      <c r="Y721" s="3"/>
    </row>
    <row r="722" spans="9:25" ht="12.75" x14ac:dyDescent="0.35">
      <c r="I722" s="3"/>
      <c r="J722" s="3"/>
      <c r="K722" s="3"/>
      <c r="L722" s="3"/>
      <c r="M722" s="3"/>
      <c r="Y722" s="3"/>
    </row>
    <row r="723" spans="9:25" ht="12.75" x14ac:dyDescent="0.35">
      <c r="I723" s="3"/>
      <c r="J723" s="3"/>
      <c r="K723" s="3"/>
      <c r="L723" s="3"/>
      <c r="M723" s="3"/>
      <c r="Y723" s="3"/>
    </row>
    <row r="724" spans="9:25" ht="12.75" x14ac:dyDescent="0.35">
      <c r="I724" s="3"/>
      <c r="J724" s="3"/>
      <c r="K724" s="3"/>
      <c r="L724" s="3"/>
      <c r="M724" s="3"/>
      <c r="Y724" s="3"/>
    </row>
    <row r="725" spans="9:25" ht="12.75" x14ac:dyDescent="0.35">
      <c r="I725" s="3"/>
      <c r="J725" s="3"/>
      <c r="K725" s="3"/>
      <c r="L725" s="3"/>
      <c r="M725" s="3"/>
      <c r="Y725" s="3"/>
    </row>
    <row r="726" spans="9:25" ht="12.75" x14ac:dyDescent="0.35">
      <c r="I726" s="3"/>
      <c r="J726" s="3"/>
      <c r="K726" s="3"/>
      <c r="L726" s="3"/>
      <c r="M726" s="3"/>
      <c r="Y726" s="3"/>
    </row>
    <row r="727" spans="9:25" ht="12.75" x14ac:dyDescent="0.35">
      <c r="I727" s="3"/>
      <c r="J727" s="3"/>
      <c r="K727" s="3"/>
      <c r="L727" s="3"/>
      <c r="M727" s="3"/>
      <c r="Y727" s="3"/>
    </row>
    <row r="728" spans="9:25" ht="12.75" x14ac:dyDescent="0.35">
      <c r="I728" s="3"/>
      <c r="J728" s="3"/>
      <c r="K728" s="3"/>
      <c r="L728" s="3"/>
      <c r="M728" s="3"/>
      <c r="Y728" s="3"/>
    </row>
    <row r="729" spans="9:25" ht="12.75" x14ac:dyDescent="0.35">
      <c r="I729" s="3"/>
      <c r="J729" s="3"/>
      <c r="K729" s="3"/>
      <c r="L729" s="3"/>
      <c r="M729" s="3"/>
      <c r="Y729" s="3"/>
    </row>
    <row r="730" spans="9:25" ht="12.75" x14ac:dyDescent="0.35">
      <c r="I730" s="3"/>
      <c r="J730" s="3"/>
      <c r="K730" s="3"/>
      <c r="L730" s="3"/>
      <c r="M730" s="3"/>
      <c r="Y730" s="3"/>
    </row>
    <row r="731" spans="9:25" ht="12.75" x14ac:dyDescent="0.35">
      <c r="I731" s="3"/>
      <c r="J731" s="3"/>
      <c r="K731" s="3"/>
      <c r="L731" s="3"/>
      <c r="M731" s="3"/>
      <c r="Y731" s="3"/>
    </row>
    <row r="732" spans="9:25" ht="12.75" x14ac:dyDescent="0.35">
      <c r="I732" s="3"/>
      <c r="J732" s="3"/>
      <c r="K732" s="3"/>
      <c r="L732" s="3"/>
      <c r="M732" s="3"/>
      <c r="Y732" s="3"/>
    </row>
    <row r="733" spans="9:25" ht="12.75" x14ac:dyDescent="0.35">
      <c r="I733" s="3"/>
      <c r="J733" s="3"/>
      <c r="K733" s="3"/>
      <c r="L733" s="3"/>
      <c r="M733" s="3"/>
      <c r="Y733" s="3"/>
    </row>
    <row r="734" spans="9:25" ht="12.75" x14ac:dyDescent="0.35">
      <c r="I734" s="3"/>
      <c r="J734" s="3"/>
      <c r="K734" s="3"/>
      <c r="L734" s="3"/>
      <c r="M734" s="3"/>
      <c r="Y734" s="3"/>
    </row>
    <row r="735" spans="9:25" ht="12.75" x14ac:dyDescent="0.35">
      <c r="I735" s="3"/>
      <c r="J735" s="3"/>
      <c r="K735" s="3"/>
      <c r="L735" s="3"/>
      <c r="M735" s="3"/>
      <c r="Y735" s="3"/>
    </row>
    <row r="736" spans="9:25" ht="12.75" x14ac:dyDescent="0.35">
      <c r="I736" s="3"/>
      <c r="J736" s="3"/>
      <c r="K736" s="3"/>
      <c r="L736" s="3"/>
      <c r="M736" s="3"/>
      <c r="Y736" s="3"/>
    </row>
    <row r="737" spans="9:25" ht="12.75" x14ac:dyDescent="0.35">
      <c r="I737" s="3"/>
      <c r="J737" s="3"/>
      <c r="K737" s="3"/>
      <c r="L737" s="3"/>
      <c r="M737" s="3"/>
      <c r="Y737" s="3"/>
    </row>
    <row r="738" spans="9:25" ht="12.75" x14ac:dyDescent="0.35">
      <c r="I738" s="3"/>
      <c r="J738" s="3"/>
      <c r="K738" s="3"/>
      <c r="L738" s="3"/>
      <c r="M738" s="3"/>
      <c r="Y738" s="3"/>
    </row>
    <row r="739" spans="9:25" ht="12.75" x14ac:dyDescent="0.35">
      <c r="I739" s="3"/>
      <c r="J739" s="3"/>
      <c r="K739" s="3"/>
      <c r="L739" s="3"/>
      <c r="M739" s="3"/>
      <c r="Y739" s="3"/>
    </row>
    <row r="740" spans="9:25" ht="12.75" x14ac:dyDescent="0.35">
      <c r="I740" s="3"/>
      <c r="J740" s="3"/>
      <c r="K740" s="3"/>
      <c r="L740" s="3"/>
      <c r="M740" s="3"/>
      <c r="Y740" s="3"/>
    </row>
    <row r="741" spans="9:25" ht="12.75" x14ac:dyDescent="0.35">
      <c r="I741" s="3"/>
      <c r="J741" s="3"/>
      <c r="K741" s="3"/>
      <c r="L741" s="3"/>
      <c r="M741" s="3"/>
      <c r="Y741" s="3"/>
    </row>
    <row r="742" spans="9:25" ht="12.75" x14ac:dyDescent="0.35">
      <c r="I742" s="3"/>
      <c r="J742" s="3"/>
      <c r="K742" s="3"/>
      <c r="L742" s="3"/>
      <c r="M742" s="3"/>
      <c r="Y742" s="3"/>
    </row>
    <row r="743" spans="9:25" ht="12.75" x14ac:dyDescent="0.35">
      <c r="I743" s="3"/>
      <c r="J743" s="3"/>
      <c r="K743" s="3"/>
      <c r="L743" s="3"/>
      <c r="M743" s="3"/>
      <c r="Y743" s="3"/>
    </row>
    <row r="744" spans="9:25" ht="12.75" x14ac:dyDescent="0.35">
      <c r="I744" s="3"/>
      <c r="J744" s="3"/>
      <c r="K744" s="3"/>
      <c r="L744" s="3"/>
      <c r="M744" s="3"/>
      <c r="Y744" s="3"/>
    </row>
    <row r="745" spans="9:25" ht="12.75" x14ac:dyDescent="0.35">
      <c r="I745" s="3"/>
      <c r="J745" s="3"/>
      <c r="K745" s="3"/>
      <c r="L745" s="3"/>
      <c r="M745" s="3"/>
      <c r="Y745" s="3"/>
    </row>
    <row r="746" spans="9:25" ht="12.75" x14ac:dyDescent="0.35">
      <c r="I746" s="3"/>
      <c r="J746" s="3"/>
      <c r="K746" s="3"/>
      <c r="L746" s="3"/>
      <c r="M746" s="3"/>
      <c r="Y746" s="3"/>
    </row>
    <row r="747" spans="9:25" ht="12.75" x14ac:dyDescent="0.35">
      <c r="I747" s="3"/>
      <c r="J747" s="3"/>
      <c r="K747" s="3"/>
      <c r="L747" s="3"/>
      <c r="M747" s="3"/>
      <c r="Y747" s="3"/>
    </row>
    <row r="748" spans="9:25" ht="12.75" x14ac:dyDescent="0.35">
      <c r="I748" s="3"/>
      <c r="J748" s="3"/>
      <c r="K748" s="3"/>
      <c r="L748" s="3"/>
      <c r="M748" s="3"/>
      <c r="Y748" s="3"/>
    </row>
    <row r="749" spans="9:25" ht="12.75" x14ac:dyDescent="0.35">
      <c r="I749" s="3"/>
      <c r="J749" s="3"/>
      <c r="K749" s="3"/>
      <c r="L749" s="3"/>
      <c r="M749" s="3"/>
      <c r="Y749" s="3"/>
    </row>
    <row r="750" spans="9:25" ht="12.75" x14ac:dyDescent="0.35">
      <c r="I750" s="3"/>
      <c r="J750" s="3"/>
      <c r="K750" s="3"/>
      <c r="L750" s="3"/>
      <c r="M750" s="3"/>
      <c r="Y750" s="3"/>
    </row>
    <row r="751" spans="9:25" ht="12.75" x14ac:dyDescent="0.35">
      <c r="I751" s="3"/>
      <c r="J751" s="3"/>
      <c r="K751" s="3"/>
      <c r="L751" s="3"/>
      <c r="M751" s="3"/>
      <c r="Y751" s="3"/>
    </row>
    <row r="752" spans="9:25" ht="12.75" x14ac:dyDescent="0.35">
      <c r="I752" s="3"/>
      <c r="J752" s="3"/>
      <c r="K752" s="3"/>
      <c r="L752" s="3"/>
      <c r="M752" s="3"/>
      <c r="Y752" s="3"/>
    </row>
    <row r="753" spans="9:25" ht="12.75" x14ac:dyDescent="0.35">
      <c r="I753" s="3"/>
      <c r="J753" s="3"/>
      <c r="K753" s="3"/>
      <c r="L753" s="3"/>
      <c r="M753" s="3"/>
      <c r="Y753" s="3"/>
    </row>
    <row r="754" spans="9:25" ht="12.75" x14ac:dyDescent="0.35">
      <c r="I754" s="3"/>
      <c r="J754" s="3"/>
      <c r="K754" s="3"/>
      <c r="L754" s="3"/>
      <c r="M754" s="3"/>
      <c r="Y754" s="3"/>
    </row>
    <row r="755" spans="9:25" ht="12.75" x14ac:dyDescent="0.35">
      <c r="I755" s="3"/>
      <c r="J755" s="3"/>
      <c r="K755" s="3"/>
      <c r="L755" s="3"/>
      <c r="M755" s="3"/>
      <c r="Y755" s="3"/>
    </row>
    <row r="756" spans="9:25" ht="12.75" x14ac:dyDescent="0.35">
      <c r="I756" s="3"/>
      <c r="J756" s="3"/>
      <c r="K756" s="3"/>
      <c r="L756" s="3"/>
      <c r="M756" s="3"/>
      <c r="Y756" s="3"/>
    </row>
    <row r="757" spans="9:25" ht="12.75" x14ac:dyDescent="0.35">
      <c r="I757" s="3"/>
      <c r="J757" s="3"/>
      <c r="K757" s="3"/>
      <c r="L757" s="3"/>
      <c r="M757" s="3"/>
      <c r="Y757" s="3"/>
    </row>
    <row r="758" spans="9:25" ht="12.75" x14ac:dyDescent="0.35">
      <c r="I758" s="3"/>
      <c r="J758" s="3"/>
      <c r="K758" s="3"/>
      <c r="L758" s="3"/>
      <c r="M758" s="3"/>
      <c r="Y758" s="3"/>
    </row>
    <row r="759" spans="9:25" ht="12.75" x14ac:dyDescent="0.35">
      <c r="I759" s="3"/>
      <c r="J759" s="3"/>
      <c r="K759" s="3"/>
      <c r="L759" s="3"/>
      <c r="M759" s="3"/>
      <c r="Y759" s="3"/>
    </row>
    <row r="760" spans="9:25" ht="12.75" x14ac:dyDescent="0.35">
      <c r="I760" s="3"/>
      <c r="J760" s="3"/>
      <c r="K760" s="3"/>
      <c r="L760" s="3"/>
      <c r="M760" s="3"/>
      <c r="Y760" s="3"/>
    </row>
    <row r="761" spans="9:25" ht="12.75" x14ac:dyDescent="0.35">
      <c r="I761" s="3"/>
      <c r="J761" s="3"/>
      <c r="K761" s="3"/>
      <c r="L761" s="3"/>
      <c r="M761" s="3"/>
      <c r="Y761" s="3"/>
    </row>
    <row r="762" spans="9:25" ht="12.75" x14ac:dyDescent="0.35">
      <c r="I762" s="3"/>
      <c r="J762" s="3"/>
      <c r="K762" s="3"/>
      <c r="L762" s="3"/>
      <c r="M762" s="3"/>
      <c r="Y762" s="3"/>
    </row>
    <row r="763" spans="9:25" ht="12.75" x14ac:dyDescent="0.35">
      <c r="I763" s="3"/>
      <c r="J763" s="3"/>
      <c r="K763" s="3"/>
      <c r="L763" s="3"/>
      <c r="M763" s="3"/>
      <c r="Y763" s="3"/>
    </row>
    <row r="764" spans="9:25" ht="12.75" x14ac:dyDescent="0.35">
      <c r="I764" s="3"/>
      <c r="J764" s="3"/>
      <c r="K764" s="3"/>
      <c r="L764" s="3"/>
      <c r="M764" s="3"/>
      <c r="Y764" s="3"/>
    </row>
    <row r="765" spans="9:25" ht="12.75" x14ac:dyDescent="0.35">
      <c r="I765" s="3"/>
      <c r="J765" s="3"/>
      <c r="K765" s="3"/>
      <c r="L765" s="3"/>
      <c r="M765" s="3"/>
      <c r="Y765" s="3"/>
    </row>
    <row r="766" spans="9:25" ht="12.75" x14ac:dyDescent="0.35">
      <c r="I766" s="3"/>
      <c r="J766" s="3"/>
      <c r="K766" s="3"/>
      <c r="L766" s="3"/>
      <c r="M766" s="3"/>
      <c r="Y766" s="3"/>
    </row>
    <row r="767" spans="9:25" ht="12.75" x14ac:dyDescent="0.35">
      <c r="I767" s="3"/>
      <c r="J767" s="3"/>
      <c r="K767" s="3"/>
      <c r="L767" s="3"/>
      <c r="M767" s="3"/>
      <c r="Y767" s="3"/>
    </row>
    <row r="768" spans="9:25" ht="12.75" x14ac:dyDescent="0.35">
      <c r="I768" s="3"/>
      <c r="J768" s="3"/>
      <c r="K768" s="3"/>
      <c r="L768" s="3"/>
      <c r="M768" s="3"/>
      <c r="Y768" s="3"/>
    </row>
    <row r="769" spans="9:25" ht="12.75" x14ac:dyDescent="0.35">
      <c r="I769" s="3"/>
      <c r="J769" s="3"/>
      <c r="K769" s="3"/>
      <c r="L769" s="3"/>
      <c r="M769" s="3"/>
      <c r="Y769" s="3"/>
    </row>
    <row r="770" spans="9:25" ht="12.75" x14ac:dyDescent="0.35">
      <c r="I770" s="3"/>
      <c r="J770" s="3"/>
      <c r="K770" s="3"/>
      <c r="L770" s="3"/>
      <c r="M770" s="3"/>
      <c r="Y770" s="3"/>
    </row>
    <row r="771" spans="9:25" ht="12.75" x14ac:dyDescent="0.35">
      <c r="I771" s="3"/>
      <c r="J771" s="3"/>
      <c r="K771" s="3"/>
      <c r="L771" s="3"/>
      <c r="M771" s="3"/>
      <c r="Y771" s="3"/>
    </row>
    <row r="772" spans="9:25" ht="12.75" x14ac:dyDescent="0.35">
      <c r="I772" s="3"/>
      <c r="J772" s="3"/>
      <c r="K772" s="3"/>
      <c r="L772" s="3"/>
      <c r="M772" s="3"/>
      <c r="Y772" s="3"/>
    </row>
    <row r="773" spans="9:25" ht="12.75" x14ac:dyDescent="0.35">
      <c r="I773" s="3"/>
      <c r="J773" s="3"/>
      <c r="K773" s="3"/>
      <c r="L773" s="3"/>
      <c r="M773" s="3"/>
      <c r="Y773" s="3"/>
    </row>
    <row r="774" spans="9:25" ht="12.75" x14ac:dyDescent="0.35">
      <c r="I774" s="3"/>
      <c r="J774" s="3"/>
      <c r="K774" s="3"/>
      <c r="L774" s="3"/>
      <c r="M774" s="3"/>
      <c r="Y774" s="3"/>
    </row>
    <row r="775" spans="9:25" ht="12.75" x14ac:dyDescent="0.35">
      <c r="I775" s="3"/>
      <c r="J775" s="3"/>
      <c r="K775" s="3"/>
      <c r="L775" s="3"/>
      <c r="M775" s="3"/>
      <c r="Y775" s="3"/>
    </row>
    <row r="776" spans="9:25" ht="12.75" x14ac:dyDescent="0.35">
      <c r="I776" s="3"/>
      <c r="J776" s="3"/>
      <c r="K776" s="3"/>
      <c r="L776" s="3"/>
      <c r="M776" s="3"/>
      <c r="Y776" s="3"/>
    </row>
    <row r="777" spans="9:25" ht="12.75" x14ac:dyDescent="0.35">
      <c r="I777" s="3"/>
      <c r="J777" s="3"/>
      <c r="K777" s="3"/>
      <c r="L777" s="3"/>
      <c r="M777" s="3"/>
      <c r="Y777" s="3"/>
    </row>
    <row r="778" spans="9:25" ht="12.75" x14ac:dyDescent="0.35">
      <c r="I778" s="3"/>
      <c r="J778" s="3"/>
      <c r="K778" s="3"/>
      <c r="L778" s="3"/>
      <c r="M778" s="3"/>
      <c r="Y778" s="3"/>
    </row>
    <row r="779" spans="9:25" ht="12.75" x14ac:dyDescent="0.35">
      <c r="I779" s="3"/>
      <c r="J779" s="3"/>
      <c r="K779" s="3"/>
      <c r="L779" s="3"/>
      <c r="M779" s="3"/>
      <c r="Y779" s="3"/>
    </row>
    <row r="780" spans="9:25" ht="12.75" x14ac:dyDescent="0.35">
      <c r="I780" s="3"/>
      <c r="J780" s="3"/>
      <c r="K780" s="3"/>
      <c r="L780" s="3"/>
      <c r="M780" s="3"/>
      <c r="Y780" s="3"/>
    </row>
    <row r="781" spans="9:25" ht="12.75" x14ac:dyDescent="0.35">
      <c r="I781" s="3"/>
      <c r="J781" s="3"/>
      <c r="K781" s="3"/>
      <c r="L781" s="3"/>
      <c r="M781" s="3"/>
      <c r="Y781" s="3"/>
    </row>
    <row r="782" spans="9:25" ht="12.75" x14ac:dyDescent="0.35">
      <c r="I782" s="3"/>
      <c r="J782" s="3"/>
      <c r="K782" s="3"/>
      <c r="L782" s="3"/>
      <c r="M782" s="3"/>
      <c r="Y782" s="3"/>
    </row>
    <row r="783" spans="9:25" ht="12.75" x14ac:dyDescent="0.35">
      <c r="I783" s="3"/>
      <c r="J783" s="3"/>
      <c r="K783" s="3"/>
      <c r="L783" s="3"/>
      <c r="M783" s="3"/>
      <c r="Y783" s="3"/>
    </row>
    <row r="784" spans="9:25" ht="12.75" x14ac:dyDescent="0.35">
      <c r="I784" s="3"/>
      <c r="J784" s="3"/>
      <c r="K784" s="3"/>
      <c r="L784" s="3"/>
      <c r="M784" s="3"/>
      <c r="Y784" s="3"/>
    </row>
    <row r="785" spans="9:25" ht="12.75" x14ac:dyDescent="0.35">
      <c r="I785" s="3"/>
      <c r="J785" s="3"/>
      <c r="K785" s="3"/>
      <c r="L785" s="3"/>
      <c r="M785" s="3"/>
      <c r="Y785" s="3"/>
    </row>
    <row r="786" spans="9:25" ht="12.75" x14ac:dyDescent="0.35">
      <c r="I786" s="3"/>
      <c r="J786" s="3"/>
      <c r="K786" s="3"/>
      <c r="L786" s="3"/>
      <c r="M786" s="3"/>
      <c r="Y786" s="3"/>
    </row>
    <row r="787" spans="9:25" ht="12.75" x14ac:dyDescent="0.35">
      <c r="I787" s="3"/>
      <c r="J787" s="3"/>
      <c r="K787" s="3"/>
      <c r="L787" s="3"/>
      <c r="M787" s="3"/>
      <c r="Y787" s="3"/>
    </row>
    <row r="788" spans="9:25" ht="12.75" x14ac:dyDescent="0.35">
      <c r="I788" s="3"/>
      <c r="J788" s="3"/>
      <c r="K788" s="3"/>
      <c r="L788" s="3"/>
      <c r="M788" s="3"/>
      <c r="Y788" s="3"/>
    </row>
    <row r="789" spans="9:25" ht="12.75" x14ac:dyDescent="0.35">
      <c r="I789" s="3"/>
      <c r="J789" s="3"/>
      <c r="K789" s="3"/>
      <c r="L789" s="3"/>
      <c r="M789" s="3"/>
      <c r="Y789" s="3"/>
    </row>
    <row r="790" spans="9:25" ht="12.75" x14ac:dyDescent="0.35">
      <c r="I790" s="3"/>
      <c r="J790" s="3"/>
      <c r="K790" s="3"/>
      <c r="L790" s="3"/>
      <c r="M790" s="3"/>
      <c r="Y790" s="3"/>
    </row>
    <row r="791" spans="9:25" ht="12.75" x14ac:dyDescent="0.35">
      <c r="I791" s="3"/>
      <c r="J791" s="3"/>
      <c r="K791" s="3"/>
      <c r="L791" s="3"/>
      <c r="M791" s="3"/>
      <c r="Y791" s="3"/>
    </row>
    <row r="792" spans="9:25" ht="12.75" x14ac:dyDescent="0.35">
      <c r="I792" s="3"/>
      <c r="J792" s="3"/>
      <c r="K792" s="3"/>
      <c r="L792" s="3"/>
      <c r="M792" s="3"/>
      <c r="Y792" s="3"/>
    </row>
    <row r="793" spans="9:25" ht="12.75" x14ac:dyDescent="0.35">
      <c r="I793" s="3"/>
      <c r="J793" s="3"/>
      <c r="K793" s="3"/>
      <c r="L793" s="3"/>
      <c r="M793" s="3"/>
      <c r="Y793" s="3"/>
    </row>
    <row r="794" spans="9:25" ht="12.75" x14ac:dyDescent="0.35">
      <c r="I794" s="3"/>
      <c r="J794" s="3"/>
      <c r="K794" s="3"/>
      <c r="L794" s="3"/>
      <c r="M794" s="3"/>
      <c r="Y794" s="3"/>
    </row>
    <row r="795" spans="9:25" ht="12.75" x14ac:dyDescent="0.35">
      <c r="I795" s="3"/>
      <c r="J795" s="3"/>
      <c r="K795" s="3"/>
      <c r="L795" s="3"/>
      <c r="M795" s="3"/>
      <c r="Y795" s="3"/>
    </row>
    <row r="796" spans="9:25" ht="12.75" x14ac:dyDescent="0.35">
      <c r="I796" s="3"/>
      <c r="J796" s="3"/>
      <c r="K796" s="3"/>
      <c r="L796" s="3"/>
      <c r="M796" s="3"/>
      <c r="Y796" s="3"/>
    </row>
    <row r="797" spans="9:25" ht="12.75" x14ac:dyDescent="0.35">
      <c r="I797" s="3"/>
      <c r="J797" s="3"/>
      <c r="K797" s="3"/>
      <c r="L797" s="3"/>
      <c r="M797" s="3"/>
      <c r="Y797" s="3"/>
    </row>
    <row r="798" spans="9:25" ht="12.75" x14ac:dyDescent="0.35">
      <c r="I798" s="3"/>
      <c r="J798" s="3"/>
      <c r="K798" s="3"/>
      <c r="L798" s="3"/>
      <c r="M798" s="3"/>
      <c r="Y798" s="3"/>
    </row>
    <row r="799" spans="9:25" ht="12.75" x14ac:dyDescent="0.35">
      <c r="I799" s="3"/>
      <c r="J799" s="3"/>
      <c r="K799" s="3"/>
      <c r="L799" s="3"/>
      <c r="M799" s="3"/>
      <c r="Y799" s="3"/>
    </row>
    <row r="800" spans="9:25" ht="12.75" x14ac:dyDescent="0.35">
      <c r="I800" s="3"/>
      <c r="J800" s="3"/>
      <c r="K800" s="3"/>
      <c r="L800" s="3"/>
      <c r="M800" s="3"/>
      <c r="Y800" s="3"/>
    </row>
    <row r="801" spans="9:25" ht="12.75" x14ac:dyDescent="0.35">
      <c r="I801" s="3"/>
      <c r="J801" s="3"/>
      <c r="K801" s="3"/>
      <c r="L801" s="3"/>
      <c r="M801" s="3"/>
      <c r="Y801" s="3"/>
    </row>
    <row r="802" spans="9:25" ht="12.75" x14ac:dyDescent="0.35">
      <c r="I802" s="3"/>
      <c r="J802" s="3"/>
      <c r="K802" s="3"/>
      <c r="L802" s="3"/>
      <c r="M802" s="3"/>
      <c r="Y802" s="3"/>
    </row>
    <row r="803" spans="9:25" ht="12.75" x14ac:dyDescent="0.35">
      <c r="I803" s="3"/>
      <c r="J803" s="3"/>
      <c r="K803" s="3"/>
      <c r="L803" s="3"/>
      <c r="M803" s="3"/>
      <c r="Y803" s="3"/>
    </row>
    <row r="804" spans="9:25" ht="12.75" x14ac:dyDescent="0.35">
      <c r="I804" s="3"/>
      <c r="J804" s="3"/>
      <c r="K804" s="3"/>
      <c r="L804" s="3"/>
      <c r="M804" s="3"/>
      <c r="Y804" s="3"/>
    </row>
    <row r="805" spans="9:25" ht="12.75" x14ac:dyDescent="0.35">
      <c r="I805" s="3"/>
      <c r="J805" s="3"/>
      <c r="K805" s="3"/>
      <c r="L805" s="3"/>
      <c r="M805" s="3"/>
      <c r="Y805" s="3"/>
    </row>
    <row r="806" spans="9:25" ht="12.75" x14ac:dyDescent="0.35">
      <c r="I806" s="3"/>
      <c r="J806" s="3"/>
      <c r="K806" s="3"/>
      <c r="L806" s="3"/>
      <c r="M806" s="3"/>
      <c r="Y806" s="3"/>
    </row>
    <row r="807" spans="9:25" ht="12.75" x14ac:dyDescent="0.35">
      <c r="I807" s="3"/>
      <c r="J807" s="3"/>
      <c r="K807" s="3"/>
      <c r="L807" s="3"/>
      <c r="M807" s="3"/>
      <c r="Y807" s="3"/>
    </row>
    <row r="808" spans="9:25" ht="12.75" x14ac:dyDescent="0.35">
      <c r="I808" s="3"/>
      <c r="J808" s="3"/>
      <c r="K808" s="3"/>
      <c r="L808" s="3"/>
      <c r="M808" s="3"/>
      <c r="Y808" s="3"/>
    </row>
    <row r="809" spans="9:25" ht="12.75" x14ac:dyDescent="0.35">
      <c r="I809" s="3"/>
      <c r="J809" s="3"/>
      <c r="K809" s="3"/>
      <c r="L809" s="3"/>
      <c r="M809" s="3"/>
      <c r="Y809" s="3"/>
    </row>
    <row r="810" spans="9:25" ht="12.75" x14ac:dyDescent="0.35">
      <c r="I810" s="3"/>
      <c r="J810" s="3"/>
      <c r="K810" s="3"/>
      <c r="L810" s="3"/>
      <c r="M810" s="3"/>
      <c r="Y810" s="3"/>
    </row>
    <row r="811" spans="9:25" ht="12.75" x14ac:dyDescent="0.35">
      <c r="I811" s="3"/>
      <c r="J811" s="3"/>
      <c r="K811" s="3"/>
      <c r="L811" s="3"/>
      <c r="M811" s="3"/>
      <c r="Y811" s="3"/>
    </row>
    <row r="812" spans="9:25" ht="12.75" x14ac:dyDescent="0.35">
      <c r="I812" s="3"/>
      <c r="J812" s="3"/>
      <c r="K812" s="3"/>
      <c r="L812" s="3"/>
      <c r="M812" s="3"/>
      <c r="Y812" s="3"/>
    </row>
    <row r="813" spans="9:25" ht="12.75" x14ac:dyDescent="0.35">
      <c r="I813" s="3"/>
      <c r="J813" s="3"/>
      <c r="K813" s="3"/>
      <c r="L813" s="3"/>
      <c r="M813" s="3"/>
      <c r="Y813" s="3"/>
    </row>
    <row r="814" spans="9:25" ht="12.75" x14ac:dyDescent="0.35">
      <c r="I814" s="3"/>
      <c r="J814" s="3"/>
      <c r="K814" s="3"/>
      <c r="L814" s="3"/>
      <c r="M814" s="3"/>
      <c r="Y814" s="3"/>
    </row>
    <row r="815" spans="9:25" ht="12.75" x14ac:dyDescent="0.35">
      <c r="I815" s="3"/>
      <c r="J815" s="3"/>
      <c r="K815" s="3"/>
      <c r="L815" s="3"/>
      <c r="M815" s="3"/>
      <c r="Y815" s="3"/>
    </row>
    <row r="816" spans="9:25" ht="12.75" x14ac:dyDescent="0.35">
      <c r="I816" s="3"/>
      <c r="J816" s="3"/>
      <c r="K816" s="3"/>
      <c r="L816" s="3"/>
      <c r="M816" s="3"/>
      <c r="Y816" s="3"/>
    </row>
    <row r="817" spans="9:25" ht="12.75" x14ac:dyDescent="0.35">
      <c r="I817" s="3"/>
      <c r="J817" s="3"/>
      <c r="K817" s="3"/>
      <c r="L817" s="3"/>
      <c r="M817" s="3"/>
      <c r="Y817" s="3"/>
    </row>
    <row r="818" spans="9:25" ht="12.75" x14ac:dyDescent="0.35">
      <c r="I818" s="3"/>
      <c r="J818" s="3"/>
      <c r="K818" s="3"/>
      <c r="L818" s="3"/>
      <c r="M818" s="3"/>
      <c r="Y818" s="3"/>
    </row>
    <row r="819" spans="9:25" ht="12.75" x14ac:dyDescent="0.35">
      <c r="I819" s="3"/>
      <c r="J819" s="3"/>
      <c r="K819" s="3"/>
      <c r="L819" s="3"/>
      <c r="M819" s="3"/>
      <c r="Y819" s="3"/>
    </row>
    <row r="820" spans="9:25" ht="12.75" x14ac:dyDescent="0.35">
      <c r="I820" s="3"/>
      <c r="J820" s="3"/>
      <c r="K820" s="3"/>
      <c r="L820" s="3"/>
      <c r="M820" s="3"/>
      <c r="Y820" s="3"/>
    </row>
    <row r="821" spans="9:25" ht="12.75" x14ac:dyDescent="0.35">
      <c r="I821" s="3"/>
      <c r="J821" s="3"/>
      <c r="K821" s="3"/>
      <c r="L821" s="3"/>
      <c r="M821" s="3"/>
      <c r="Y821" s="3"/>
    </row>
    <row r="822" spans="9:25" ht="12.75" x14ac:dyDescent="0.35">
      <c r="I822" s="3"/>
      <c r="J822" s="3"/>
      <c r="K822" s="3"/>
      <c r="L822" s="3"/>
      <c r="M822" s="3"/>
      <c r="Y822" s="3"/>
    </row>
    <row r="823" spans="9:25" ht="12.75" x14ac:dyDescent="0.35">
      <c r="I823" s="3"/>
      <c r="J823" s="3"/>
      <c r="K823" s="3"/>
      <c r="L823" s="3"/>
      <c r="M823" s="3"/>
      <c r="Y823" s="3"/>
    </row>
    <row r="824" spans="9:25" ht="12.75" x14ac:dyDescent="0.35">
      <c r="I824" s="3"/>
      <c r="J824" s="3"/>
      <c r="K824" s="3"/>
      <c r="L824" s="3"/>
      <c r="M824" s="3"/>
      <c r="Y824" s="3"/>
    </row>
    <row r="825" spans="9:25" ht="12.75" x14ac:dyDescent="0.35">
      <c r="I825" s="3"/>
      <c r="J825" s="3"/>
      <c r="K825" s="3"/>
      <c r="L825" s="3"/>
      <c r="M825" s="3"/>
      <c r="Y825" s="3"/>
    </row>
    <row r="826" spans="9:25" ht="12.75" x14ac:dyDescent="0.35">
      <c r="I826" s="3"/>
      <c r="J826" s="3"/>
      <c r="K826" s="3"/>
      <c r="L826" s="3"/>
      <c r="M826" s="3"/>
      <c r="Y826" s="3"/>
    </row>
    <row r="827" spans="9:25" ht="12.75" x14ac:dyDescent="0.35">
      <c r="I827" s="3"/>
      <c r="J827" s="3"/>
      <c r="K827" s="3"/>
      <c r="L827" s="3"/>
      <c r="M827" s="3"/>
      <c r="Y827" s="3"/>
    </row>
    <row r="828" spans="9:25" ht="12.75" x14ac:dyDescent="0.35">
      <c r="I828" s="3"/>
      <c r="J828" s="3"/>
      <c r="K828" s="3"/>
      <c r="L828" s="3"/>
      <c r="M828" s="3"/>
      <c r="Y828" s="3"/>
    </row>
    <row r="829" spans="9:25" ht="12.75" x14ac:dyDescent="0.35">
      <c r="I829" s="3"/>
      <c r="J829" s="3"/>
      <c r="K829" s="3"/>
      <c r="L829" s="3"/>
      <c r="M829" s="3"/>
      <c r="Y829" s="3"/>
    </row>
    <row r="830" spans="9:25" ht="12.75" x14ac:dyDescent="0.35">
      <c r="I830" s="3"/>
      <c r="J830" s="3"/>
      <c r="K830" s="3"/>
      <c r="L830" s="3"/>
      <c r="M830" s="3"/>
      <c r="Y830" s="3"/>
    </row>
    <row r="831" spans="9:25" ht="12.75" x14ac:dyDescent="0.35">
      <c r="I831" s="3"/>
      <c r="J831" s="3"/>
      <c r="K831" s="3"/>
      <c r="L831" s="3"/>
      <c r="M831" s="3"/>
      <c r="Y831" s="3"/>
    </row>
    <row r="832" spans="9:25" ht="12.75" x14ac:dyDescent="0.35">
      <c r="I832" s="3"/>
      <c r="J832" s="3"/>
      <c r="K832" s="3"/>
      <c r="L832" s="3"/>
      <c r="M832" s="3"/>
      <c r="Y832" s="3"/>
    </row>
    <row r="833" spans="9:25" ht="12.75" x14ac:dyDescent="0.35">
      <c r="I833" s="3"/>
      <c r="J833" s="3"/>
      <c r="K833" s="3"/>
      <c r="L833" s="3"/>
      <c r="M833" s="3"/>
      <c r="Y833" s="3"/>
    </row>
    <row r="834" spans="9:25" ht="12.75" x14ac:dyDescent="0.35">
      <c r="I834" s="3"/>
      <c r="J834" s="3"/>
      <c r="K834" s="3"/>
      <c r="L834" s="3"/>
      <c r="M834" s="3"/>
      <c r="Y834" s="3"/>
    </row>
    <row r="835" spans="9:25" ht="12.75" x14ac:dyDescent="0.35">
      <c r="I835" s="3"/>
      <c r="J835" s="3"/>
      <c r="K835" s="3"/>
      <c r="L835" s="3"/>
      <c r="M835" s="3"/>
      <c r="Y835" s="3"/>
    </row>
    <row r="836" spans="9:25" ht="12.75" x14ac:dyDescent="0.35">
      <c r="I836" s="3"/>
      <c r="J836" s="3"/>
      <c r="K836" s="3"/>
      <c r="L836" s="3"/>
      <c r="M836" s="3"/>
      <c r="Y836" s="3"/>
    </row>
    <row r="837" spans="9:25" ht="12.75" x14ac:dyDescent="0.35">
      <c r="I837" s="3"/>
      <c r="J837" s="3"/>
      <c r="K837" s="3"/>
      <c r="L837" s="3"/>
      <c r="M837" s="3"/>
      <c r="Y837" s="3"/>
    </row>
    <row r="838" spans="9:25" ht="12.75" x14ac:dyDescent="0.35">
      <c r="I838" s="3"/>
      <c r="J838" s="3"/>
      <c r="K838" s="3"/>
      <c r="L838" s="3"/>
      <c r="M838" s="3"/>
      <c r="Y838" s="3"/>
    </row>
    <row r="839" spans="9:25" ht="12.75" x14ac:dyDescent="0.35">
      <c r="I839" s="3"/>
      <c r="J839" s="3"/>
      <c r="K839" s="3"/>
      <c r="L839" s="3"/>
      <c r="M839" s="3"/>
      <c r="Y839" s="3"/>
    </row>
    <row r="840" spans="9:25" ht="12.75" x14ac:dyDescent="0.35">
      <c r="I840" s="3"/>
      <c r="J840" s="3"/>
      <c r="K840" s="3"/>
      <c r="L840" s="3"/>
      <c r="M840" s="3"/>
      <c r="Y840" s="3"/>
    </row>
    <row r="841" spans="9:25" ht="12.75" x14ac:dyDescent="0.35">
      <c r="I841" s="3"/>
      <c r="J841" s="3"/>
      <c r="K841" s="3"/>
      <c r="L841" s="3"/>
      <c r="M841" s="3"/>
      <c r="Y841" s="3"/>
    </row>
    <row r="842" spans="9:25" ht="12.75" x14ac:dyDescent="0.35">
      <c r="I842" s="3"/>
      <c r="J842" s="3"/>
      <c r="K842" s="3"/>
      <c r="L842" s="3"/>
      <c r="M842" s="3"/>
      <c r="Y842" s="3"/>
    </row>
    <row r="843" spans="9:25" ht="12.75" x14ac:dyDescent="0.35">
      <c r="I843" s="3"/>
      <c r="J843" s="3"/>
      <c r="K843" s="3"/>
      <c r="L843" s="3"/>
      <c r="M843" s="3"/>
      <c r="Y843" s="3"/>
    </row>
    <row r="844" spans="9:25" ht="12.75" x14ac:dyDescent="0.35">
      <c r="I844" s="3"/>
      <c r="J844" s="3"/>
      <c r="K844" s="3"/>
      <c r="L844" s="3"/>
      <c r="M844" s="3"/>
      <c r="Y844" s="3"/>
    </row>
    <row r="845" spans="9:25" ht="12.75" x14ac:dyDescent="0.35">
      <c r="I845" s="3"/>
      <c r="J845" s="3"/>
      <c r="K845" s="3"/>
      <c r="L845" s="3"/>
      <c r="M845" s="3"/>
      <c r="Y845" s="3"/>
    </row>
    <row r="846" spans="9:25" ht="12.75" x14ac:dyDescent="0.35">
      <c r="I846" s="3"/>
      <c r="J846" s="3"/>
      <c r="K846" s="3"/>
      <c r="L846" s="3"/>
      <c r="M846" s="3"/>
      <c r="Y846" s="3"/>
    </row>
    <row r="847" spans="9:25" ht="12.75" x14ac:dyDescent="0.35">
      <c r="I847" s="3"/>
      <c r="J847" s="3"/>
      <c r="K847" s="3"/>
      <c r="L847" s="3"/>
      <c r="M847" s="3"/>
      <c r="Y847" s="3"/>
    </row>
    <row r="848" spans="9:25" ht="12.75" x14ac:dyDescent="0.35">
      <c r="I848" s="3"/>
      <c r="J848" s="3"/>
      <c r="K848" s="3"/>
      <c r="L848" s="3"/>
      <c r="M848" s="3"/>
      <c r="Y848" s="3"/>
    </row>
    <row r="849" spans="9:25" ht="12.75" x14ac:dyDescent="0.35">
      <c r="I849" s="3"/>
      <c r="J849" s="3"/>
      <c r="K849" s="3"/>
      <c r="L849" s="3"/>
      <c r="M849" s="3"/>
      <c r="Y849" s="3"/>
    </row>
    <row r="850" spans="9:25" ht="12.75" x14ac:dyDescent="0.35">
      <c r="I850" s="3"/>
      <c r="J850" s="3"/>
      <c r="K850" s="3"/>
      <c r="L850" s="3"/>
      <c r="M850" s="3"/>
      <c r="Y850" s="3"/>
    </row>
    <row r="851" spans="9:25" ht="12.75" x14ac:dyDescent="0.35">
      <c r="I851" s="3"/>
      <c r="J851" s="3"/>
      <c r="K851" s="3"/>
      <c r="L851" s="3"/>
      <c r="M851" s="3"/>
      <c r="Y851" s="3"/>
    </row>
    <row r="852" spans="9:25" ht="12.75" x14ac:dyDescent="0.35">
      <c r="I852" s="3"/>
      <c r="J852" s="3"/>
      <c r="K852" s="3"/>
      <c r="L852" s="3"/>
      <c r="M852" s="3"/>
      <c r="Y852" s="3"/>
    </row>
    <row r="853" spans="9:25" ht="12.75" x14ac:dyDescent="0.35">
      <c r="I853" s="3"/>
      <c r="J853" s="3"/>
      <c r="K853" s="3"/>
      <c r="L853" s="3"/>
      <c r="M853" s="3"/>
      <c r="Y853" s="3"/>
    </row>
    <row r="854" spans="9:25" ht="12.75" x14ac:dyDescent="0.35">
      <c r="I854" s="3"/>
      <c r="J854" s="3"/>
      <c r="K854" s="3"/>
      <c r="L854" s="3"/>
      <c r="M854" s="3"/>
      <c r="Y854" s="3"/>
    </row>
    <row r="855" spans="9:25" ht="12.75" x14ac:dyDescent="0.35">
      <c r="I855" s="3"/>
      <c r="J855" s="3"/>
      <c r="K855" s="3"/>
      <c r="L855" s="3"/>
      <c r="M855" s="3"/>
      <c r="Y855" s="3"/>
    </row>
    <row r="856" spans="9:25" ht="12.75" x14ac:dyDescent="0.35">
      <c r="I856" s="3"/>
      <c r="J856" s="3"/>
      <c r="K856" s="3"/>
      <c r="L856" s="3"/>
      <c r="M856" s="3"/>
      <c r="Y856" s="3"/>
    </row>
    <row r="857" spans="9:25" ht="12.75" x14ac:dyDescent="0.35">
      <c r="I857" s="3"/>
      <c r="J857" s="3"/>
      <c r="K857" s="3"/>
      <c r="L857" s="3"/>
      <c r="M857" s="3"/>
      <c r="Y857" s="3"/>
    </row>
    <row r="858" spans="9:25" ht="12.75" x14ac:dyDescent="0.35">
      <c r="I858" s="3"/>
      <c r="J858" s="3"/>
      <c r="K858" s="3"/>
      <c r="L858" s="3"/>
      <c r="M858" s="3"/>
      <c r="Y858" s="3"/>
    </row>
    <row r="859" spans="9:25" ht="12.75" x14ac:dyDescent="0.35">
      <c r="I859" s="3"/>
      <c r="J859" s="3"/>
      <c r="K859" s="3"/>
      <c r="L859" s="3"/>
      <c r="M859" s="3"/>
      <c r="Y859" s="3"/>
    </row>
    <row r="860" spans="9:25" ht="12.75" x14ac:dyDescent="0.35">
      <c r="I860" s="3"/>
      <c r="J860" s="3"/>
      <c r="K860" s="3"/>
      <c r="L860" s="3"/>
      <c r="M860" s="3"/>
      <c r="Y860" s="3"/>
    </row>
    <row r="861" spans="9:25" ht="12.75" x14ac:dyDescent="0.35">
      <c r="I861" s="3"/>
      <c r="J861" s="3"/>
      <c r="K861" s="3"/>
      <c r="L861" s="3"/>
      <c r="M861" s="3"/>
      <c r="Y861" s="3"/>
    </row>
    <row r="862" spans="9:25" ht="12.75" x14ac:dyDescent="0.35">
      <c r="I862" s="3"/>
      <c r="J862" s="3"/>
      <c r="K862" s="3"/>
      <c r="L862" s="3"/>
      <c r="M862" s="3"/>
      <c r="Y862" s="3"/>
    </row>
    <row r="863" spans="9:25" ht="12.75" x14ac:dyDescent="0.35">
      <c r="I863" s="3"/>
      <c r="J863" s="3"/>
      <c r="K863" s="3"/>
      <c r="L863" s="3"/>
      <c r="M863" s="3"/>
      <c r="Y863" s="3"/>
    </row>
    <row r="864" spans="9:25" ht="12.75" x14ac:dyDescent="0.35">
      <c r="I864" s="3"/>
      <c r="J864" s="3"/>
      <c r="K864" s="3"/>
      <c r="L864" s="3"/>
      <c r="M864" s="3"/>
      <c r="Y864" s="3"/>
    </row>
    <row r="865" spans="9:25" ht="12.75" x14ac:dyDescent="0.35">
      <c r="I865" s="3"/>
      <c r="J865" s="3"/>
      <c r="K865" s="3"/>
      <c r="L865" s="3"/>
      <c r="M865" s="3"/>
      <c r="Y865" s="3"/>
    </row>
    <row r="866" spans="9:25" ht="12.75" x14ac:dyDescent="0.35">
      <c r="I866" s="3"/>
      <c r="J866" s="3"/>
      <c r="K866" s="3"/>
      <c r="L866" s="3"/>
      <c r="M866" s="3"/>
      <c r="Y866" s="3"/>
    </row>
    <row r="867" spans="9:25" ht="12.75" x14ac:dyDescent="0.35">
      <c r="I867" s="3"/>
      <c r="J867" s="3"/>
      <c r="K867" s="3"/>
      <c r="L867" s="3"/>
      <c r="M867" s="3"/>
      <c r="Y867" s="3"/>
    </row>
    <row r="868" spans="9:25" ht="12.75" x14ac:dyDescent="0.35">
      <c r="I868" s="3"/>
      <c r="J868" s="3"/>
      <c r="K868" s="3"/>
      <c r="L868" s="3"/>
      <c r="M868" s="3"/>
      <c r="Y868" s="3"/>
    </row>
    <row r="869" spans="9:25" ht="12.75" x14ac:dyDescent="0.35">
      <c r="I869" s="3"/>
      <c r="J869" s="3"/>
      <c r="K869" s="3"/>
      <c r="L869" s="3"/>
      <c r="M869" s="3"/>
      <c r="Y869" s="3"/>
    </row>
    <row r="870" spans="9:25" ht="12.75" x14ac:dyDescent="0.35">
      <c r="I870" s="3"/>
      <c r="J870" s="3"/>
      <c r="K870" s="3"/>
      <c r="L870" s="3"/>
      <c r="M870" s="3"/>
      <c r="Y870" s="3"/>
    </row>
    <row r="871" spans="9:25" ht="12.75" x14ac:dyDescent="0.35">
      <c r="I871" s="3"/>
      <c r="J871" s="3"/>
      <c r="K871" s="3"/>
      <c r="L871" s="3"/>
      <c r="M871" s="3"/>
      <c r="Y871" s="3"/>
    </row>
    <row r="872" spans="9:25" ht="12.75" x14ac:dyDescent="0.35">
      <c r="I872" s="3"/>
      <c r="J872" s="3"/>
      <c r="K872" s="3"/>
      <c r="L872" s="3"/>
      <c r="M872" s="3"/>
      <c r="Y872" s="3"/>
    </row>
    <row r="873" spans="9:25" ht="12.75" x14ac:dyDescent="0.35">
      <c r="I873" s="3"/>
      <c r="J873" s="3"/>
      <c r="K873" s="3"/>
      <c r="L873" s="3"/>
      <c r="M873" s="3"/>
      <c r="Y873" s="3"/>
    </row>
    <row r="874" spans="9:25" ht="12.75" x14ac:dyDescent="0.35">
      <c r="I874" s="3"/>
      <c r="J874" s="3"/>
      <c r="K874" s="3"/>
      <c r="L874" s="3"/>
      <c r="M874" s="3"/>
      <c r="Y874" s="3"/>
    </row>
    <row r="875" spans="9:25" ht="12.75" x14ac:dyDescent="0.35">
      <c r="I875" s="3"/>
      <c r="J875" s="3"/>
      <c r="K875" s="3"/>
      <c r="L875" s="3"/>
      <c r="M875" s="3"/>
      <c r="Y875" s="3"/>
    </row>
    <row r="876" spans="9:25" ht="12.75" x14ac:dyDescent="0.35">
      <c r="I876" s="3"/>
      <c r="J876" s="3"/>
      <c r="K876" s="3"/>
      <c r="L876" s="3"/>
      <c r="M876" s="3"/>
      <c r="Y876" s="3"/>
    </row>
    <row r="877" spans="9:25" ht="12.75" x14ac:dyDescent="0.35">
      <c r="I877" s="3"/>
      <c r="J877" s="3"/>
      <c r="K877" s="3"/>
      <c r="L877" s="3"/>
      <c r="M877" s="3"/>
      <c r="Y877" s="3"/>
    </row>
    <row r="878" spans="9:25" ht="12.75" x14ac:dyDescent="0.35">
      <c r="I878" s="3"/>
      <c r="J878" s="3"/>
      <c r="K878" s="3"/>
      <c r="L878" s="3"/>
      <c r="M878" s="3"/>
      <c r="Y878" s="3"/>
    </row>
    <row r="879" spans="9:25" ht="12.75" x14ac:dyDescent="0.35">
      <c r="I879" s="3"/>
      <c r="J879" s="3"/>
      <c r="K879" s="3"/>
      <c r="L879" s="3"/>
      <c r="M879" s="3"/>
      <c r="Y879" s="3"/>
    </row>
    <row r="880" spans="9:25" ht="12.75" x14ac:dyDescent="0.35">
      <c r="I880" s="3"/>
      <c r="J880" s="3"/>
      <c r="K880" s="3"/>
      <c r="L880" s="3"/>
      <c r="M880" s="3"/>
      <c r="Y880" s="3"/>
    </row>
    <row r="881" spans="9:25" ht="12.75" x14ac:dyDescent="0.35">
      <c r="I881" s="3"/>
      <c r="J881" s="3"/>
      <c r="K881" s="3"/>
      <c r="L881" s="3"/>
      <c r="M881" s="3"/>
      <c r="Y881" s="3"/>
    </row>
    <row r="882" spans="9:25" ht="12.75" x14ac:dyDescent="0.35">
      <c r="I882" s="3"/>
      <c r="J882" s="3"/>
      <c r="K882" s="3"/>
      <c r="L882" s="3"/>
      <c r="M882" s="3"/>
      <c r="Y882" s="3"/>
    </row>
    <row r="883" spans="9:25" ht="12.75" x14ac:dyDescent="0.35">
      <c r="I883" s="3"/>
      <c r="J883" s="3"/>
      <c r="K883" s="3"/>
      <c r="L883" s="3"/>
      <c r="M883" s="3"/>
      <c r="Y883" s="3"/>
    </row>
    <row r="884" spans="9:25" ht="12.75" x14ac:dyDescent="0.35">
      <c r="I884" s="3"/>
      <c r="J884" s="3"/>
      <c r="K884" s="3"/>
      <c r="L884" s="3"/>
      <c r="M884" s="3"/>
      <c r="Y884" s="3"/>
    </row>
    <row r="885" spans="9:25" ht="12.75" x14ac:dyDescent="0.35">
      <c r="I885" s="3"/>
      <c r="J885" s="3"/>
      <c r="K885" s="3"/>
      <c r="L885" s="3"/>
      <c r="M885" s="3"/>
      <c r="Y885" s="3"/>
    </row>
    <row r="886" spans="9:25" ht="12.75" x14ac:dyDescent="0.35">
      <c r="I886" s="3"/>
      <c r="J886" s="3"/>
      <c r="K886" s="3"/>
      <c r="L886" s="3"/>
      <c r="M886" s="3"/>
      <c r="Y886" s="3"/>
    </row>
    <row r="887" spans="9:25" ht="12.75" x14ac:dyDescent="0.35">
      <c r="I887" s="3"/>
      <c r="J887" s="3"/>
      <c r="K887" s="3"/>
      <c r="L887" s="3"/>
      <c r="M887" s="3"/>
      <c r="Y887" s="3"/>
    </row>
    <row r="888" spans="9:25" ht="12.75" x14ac:dyDescent="0.35">
      <c r="I888" s="3"/>
      <c r="J888" s="3"/>
      <c r="K888" s="3"/>
      <c r="L888" s="3"/>
      <c r="M888" s="3"/>
      <c r="Y888" s="3"/>
    </row>
    <row r="889" spans="9:25" ht="12.75" x14ac:dyDescent="0.35">
      <c r="I889" s="3"/>
      <c r="J889" s="3"/>
      <c r="K889" s="3"/>
      <c r="L889" s="3"/>
      <c r="M889" s="3"/>
      <c r="Y889" s="3"/>
    </row>
    <row r="890" spans="9:25" ht="12.75" x14ac:dyDescent="0.35">
      <c r="I890" s="3"/>
      <c r="J890" s="3"/>
      <c r="K890" s="3"/>
      <c r="L890" s="3"/>
      <c r="M890" s="3"/>
      <c r="Y890" s="3"/>
    </row>
    <row r="891" spans="9:25" ht="12.75" x14ac:dyDescent="0.35">
      <c r="I891" s="3"/>
      <c r="J891" s="3"/>
      <c r="K891" s="3"/>
      <c r="L891" s="3"/>
      <c r="M891" s="3"/>
      <c r="Y891" s="3"/>
    </row>
    <row r="892" spans="9:25" ht="12.75" x14ac:dyDescent="0.35">
      <c r="I892" s="3"/>
      <c r="J892" s="3"/>
      <c r="K892" s="3"/>
      <c r="L892" s="3"/>
      <c r="M892" s="3"/>
      <c r="Y892" s="3"/>
    </row>
    <row r="893" spans="9:25" ht="12.75" x14ac:dyDescent="0.35">
      <c r="I893" s="3"/>
      <c r="J893" s="3"/>
      <c r="K893" s="3"/>
      <c r="L893" s="3"/>
      <c r="M893" s="3"/>
      <c r="Y893" s="3"/>
    </row>
    <row r="894" spans="9:25" ht="12.75" x14ac:dyDescent="0.35">
      <c r="I894" s="3"/>
      <c r="J894" s="3"/>
      <c r="K894" s="3"/>
      <c r="L894" s="3"/>
      <c r="M894" s="3"/>
      <c r="Y894" s="3"/>
    </row>
    <row r="895" spans="9:25" ht="12.75" x14ac:dyDescent="0.35">
      <c r="I895" s="3"/>
      <c r="J895" s="3"/>
      <c r="K895" s="3"/>
      <c r="L895" s="3"/>
      <c r="M895" s="3"/>
      <c r="Y895" s="3"/>
    </row>
    <row r="896" spans="9:25" ht="12.75" x14ac:dyDescent="0.35">
      <c r="I896" s="3"/>
      <c r="J896" s="3"/>
      <c r="K896" s="3"/>
      <c r="L896" s="3"/>
      <c r="M896" s="3"/>
      <c r="Y896" s="3"/>
    </row>
    <row r="897" spans="9:25" ht="12.75" x14ac:dyDescent="0.35">
      <c r="I897" s="3"/>
      <c r="J897" s="3"/>
      <c r="K897" s="3"/>
      <c r="L897" s="3"/>
      <c r="M897" s="3"/>
      <c r="Y897" s="3"/>
    </row>
    <row r="898" spans="9:25" ht="12.75" x14ac:dyDescent="0.35">
      <c r="I898" s="3"/>
      <c r="J898" s="3"/>
      <c r="K898" s="3"/>
      <c r="L898" s="3"/>
      <c r="M898" s="3"/>
      <c r="Y898" s="3"/>
    </row>
    <row r="899" spans="9:25" ht="12.75" x14ac:dyDescent="0.35">
      <c r="I899" s="3"/>
      <c r="J899" s="3"/>
      <c r="K899" s="3"/>
      <c r="L899" s="3"/>
      <c r="M899" s="3"/>
      <c r="Y899" s="3"/>
    </row>
    <row r="900" spans="9:25" ht="12.75" x14ac:dyDescent="0.35">
      <c r="I900" s="3"/>
      <c r="J900" s="3"/>
      <c r="K900" s="3"/>
      <c r="L900" s="3"/>
      <c r="M900" s="3"/>
      <c r="Y900" s="3"/>
    </row>
    <row r="901" spans="9:25" ht="12.75" x14ac:dyDescent="0.35">
      <c r="I901" s="3"/>
      <c r="J901" s="3"/>
      <c r="K901" s="3"/>
      <c r="L901" s="3"/>
      <c r="M901" s="3"/>
      <c r="Y901" s="3"/>
    </row>
    <row r="902" spans="9:25" ht="12.75" x14ac:dyDescent="0.35">
      <c r="I902" s="3"/>
      <c r="J902" s="3"/>
      <c r="K902" s="3"/>
      <c r="L902" s="3"/>
      <c r="M902" s="3"/>
      <c r="Y902" s="3"/>
    </row>
    <row r="903" spans="9:25" ht="12.75" x14ac:dyDescent="0.35">
      <c r="I903" s="3"/>
      <c r="J903" s="3"/>
      <c r="K903" s="3"/>
      <c r="L903" s="3"/>
      <c r="M903" s="3"/>
      <c r="Y903" s="3"/>
    </row>
    <row r="904" spans="9:25" ht="12.75" x14ac:dyDescent="0.35">
      <c r="I904" s="3"/>
      <c r="J904" s="3"/>
      <c r="K904" s="3"/>
      <c r="L904" s="3"/>
      <c r="M904" s="3"/>
      <c r="Y904" s="3"/>
    </row>
    <row r="905" spans="9:25" ht="12.75" x14ac:dyDescent="0.35">
      <c r="I905" s="3"/>
      <c r="J905" s="3"/>
      <c r="K905" s="3"/>
      <c r="L905" s="3"/>
      <c r="M905" s="3"/>
      <c r="Y905" s="3"/>
    </row>
    <row r="906" spans="9:25" ht="12.75" x14ac:dyDescent="0.35">
      <c r="I906" s="3"/>
      <c r="J906" s="3"/>
      <c r="K906" s="3"/>
      <c r="L906" s="3"/>
      <c r="M906" s="3"/>
      <c r="Y906" s="3"/>
    </row>
    <row r="907" spans="9:25" ht="12.75" x14ac:dyDescent="0.35">
      <c r="I907" s="3"/>
      <c r="J907" s="3"/>
      <c r="K907" s="3"/>
      <c r="L907" s="3"/>
      <c r="M907" s="3"/>
      <c r="Y907" s="3"/>
    </row>
    <row r="908" spans="9:25" ht="12.75" x14ac:dyDescent="0.35">
      <c r="I908" s="3"/>
      <c r="J908" s="3"/>
      <c r="K908" s="3"/>
      <c r="L908" s="3"/>
      <c r="M908" s="3"/>
      <c r="Y908" s="3"/>
    </row>
    <row r="909" spans="9:25" ht="12.75" x14ac:dyDescent="0.35">
      <c r="I909" s="3"/>
      <c r="J909" s="3"/>
      <c r="K909" s="3"/>
      <c r="L909" s="3"/>
      <c r="M909" s="3"/>
      <c r="Y909" s="3"/>
    </row>
    <row r="910" spans="9:25" ht="12.75" x14ac:dyDescent="0.35">
      <c r="I910" s="3"/>
      <c r="J910" s="3"/>
      <c r="K910" s="3"/>
      <c r="L910" s="3"/>
      <c r="M910" s="3"/>
      <c r="Y910" s="3"/>
    </row>
    <row r="911" spans="9:25" ht="12.75" x14ac:dyDescent="0.35">
      <c r="I911" s="3"/>
      <c r="J911" s="3"/>
      <c r="K911" s="3"/>
      <c r="L911" s="3"/>
      <c r="M911" s="3"/>
      <c r="Y911" s="3"/>
    </row>
    <row r="912" spans="9:25" ht="12.75" x14ac:dyDescent="0.35">
      <c r="I912" s="3"/>
      <c r="J912" s="3"/>
      <c r="K912" s="3"/>
      <c r="L912" s="3"/>
      <c r="M912" s="3"/>
      <c r="Y912" s="3"/>
    </row>
    <row r="913" spans="9:25" ht="12.75" x14ac:dyDescent="0.35">
      <c r="I913" s="3"/>
      <c r="J913" s="3"/>
      <c r="K913" s="3"/>
      <c r="L913" s="3"/>
      <c r="M913" s="3"/>
      <c r="Y913" s="3"/>
    </row>
    <row r="914" spans="9:25" ht="12.75" x14ac:dyDescent="0.35">
      <c r="I914" s="3"/>
      <c r="J914" s="3"/>
      <c r="K914" s="3"/>
      <c r="L914" s="3"/>
      <c r="M914" s="3"/>
      <c r="Y914" s="3"/>
    </row>
    <row r="915" spans="9:25" ht="12.75" x14ac:dyDescent="0.35">
      <c r="I915" s="3"/>
      <c r="J915" s="3"/>
      <c r="K915" s="3"/>
      <c r="L915" s="3"/>
      <c r="M915" s="3"/>
      <c r="Y915" s="3"/>
    </row>
    <row r="916" spans="9:25" ht="12.75" x14ac:dyDescent="0.35">
      <c r="I916" s="3"/>
      <c r="J916" s="3"/>
      <c r="K916" s="3"/>
      <c r="L916" s="3"/>
      <c r="M916" s="3"/>
      <c r="Y916" s="3"/>
    </row>
    <row r="917" spans="9:25" ht="12.75" x14ac:dyDescent="0.35">
      <c r="I917" s="3"/>
      <c r="J917" s="3"/>
      <c r="K917" s="3"/>
      <c r="L917" s="3"/>
      <c r="M917" s="3"/>
      <c r="Y917" s="3"/>
    </row>
    <row r="918" spans="9:25" ht="12.75" x14ac:dyDescent="0.35">
      <c r="I918" s="3"/>
      <c r="J918" s="3"/>
      <c r="K918" s="3"/>
      <c r="L918" s="3"/>
      <c r="M918" s="3"/>
      <c r="Y918" s="3"/>
    </row>
    <row r="919" spans="9:25" ht="12.75" x14ac:dyDescent="0.35">
      <c r="I919" s="3"/>
      <c r="J919" s="3"/>
      <c r="K919" s="3"/>
      <c r="L919" s="3"/>
      <c r="M919" s="3"/>
      <c r="Y919" s="3"/>
    </row>
    <row r="920" spans="9:25" ht="12.75" x14ac:dyDescent="0.35">
      <c r="I920" s="3"/>
      <c r="J920" s="3"/>
      <c r="K920" s="3"/>
      <c r="L920" s="3"/>
      <c r="M920" s="3"/>
      <c r="Y920" s="3"/>
    </row>
    <row r="921" spans="9:25" ht="12.75" x14ac:dyDescent="0.35">
      <c r="I921" s="3"/>
      <c r="J921" s="3"/>
      <c r="K921" s="3"/>
      <c r="L921" s="3"/>
      <c r="M921" s="3"/>
      <c r="Y921" s="3"/>
    </row>
    <row r="922" spans="9:25" ht="12.75" x14ac:dyDescent="0.35">
      <c r="I922" s="3"/>
      <c r="J922" s="3"/>
      <c r="K922" s="3"/>
      <c r="L922" s="3"/>
      <c r="M922" s="3"/>
      <c r="Y922" s="3"/>
    </row>
    <row r="923" spans="9:25" ht="12.75" x14ac:dyDescent="0.35">
      <c r="I923" s="3"/>
      <c r="J923" s="3"/>
      <c r="K923" s="3"/>
      <c r="L923" s="3"/>
      <c r="M923" s="3"/>
      <c r="Y923" s="3"/>
    </row>
    <row r="924" spans="9:25" ht="12.75" x14ac:dyDescent="0.35">
      <c r="I924" s="3"/>
      <c r="J924" s="3"/>
      <c r="K924" s="3"/>
      <c r="L924" s="3"/>
      <c r="M924" s="3"/>
      <c r="Y924" s="3"/>
    </row>
    <row r="925" spans="9:25" ht="12.75" x14ac:dyDescent="0.35">
      <c r="I925" s="3"/>
      <c r="J925" s="3"/>
      <c r="K925" s="3"/>
      <c r="L925" s="3"/>
      <c r="M925" s="3"/>
      <c r="Y925" s="3"/>
    </row>
    <row r="926" spans="9:25" ht="12.75" x14ac:dyDescent="0.35">
      <c r="I926" s="3"/>
      <c r="J926" s="3"/>
      <c r="K926" s="3"/>
      <c r="L926" s="3"/>
      <c r="M926" s="3"/>
      <c r="Y926" s="3"/>
    </row>
    <row r="927" spans="9:25" ht="12.75" x14ac:dyDescent="0.35">
      <c r="I927" s="3"/>
      <c r="J927" s="3"/>
      <c r="K927" s="3"/>
      <c r="L927" s="3"/>
      <c r="M927" s="3"/>
      <c r="Y927" s="3"/>
    </row>
    <row r="928" spans="9:25" ht="12.75" x14ac:dyDescent="0.35">
      <c r="I928" s="3"/>
      <c r="J928" s="3"/>
      <c r="K928" s="3"/>
      <c r="L928" s="3"/>
      <c r="M928" s="3"/>
      <c r="Y928" s="3"/>
    </row>
    <row r="929" spans="9:25" ht="12.75" x14ac:dyDescent="0.35">
      <c r="I929" s="3"/>
      <c r="J929" s="3"/>
      <c r="K929" s="3"/>
      <c r="L929" s="3"/>
      <c r="M929" s="3"/>
      <c r="Y929" s="3"/>
    </row>
    <row r="930" spans="9:25" ht="12.75" x14ac:dyDescent="0.35">
      <c r="I930" s="3"/>
      <c r="J930" s="3"/>
      <c r="K930" s="3"/>
      <c r="L930" s="3"/>
      <c r="M930" s="3"/>
      <c r="Y930" s="3"/>
    </row>
    <row r="931" spans="9:25" ht="12.75" x14ac:dyDescent="0.35">
      <c r="I931" s="3"/>
      <c r="J931" s="3"/>
      <c r="K931" s="3"/>
      <c r="L931" s="3"/>
      <c r="M931" s="3"/>
      <c r="Y931" s="3"/>
    </row>
    <row r="932" spans="9:25" ht="12.75" x14ac:dyDescent="0.35">
      <c r="I932" s="3"/>
      <c r="J932" s="3"/>
      <c r="K932" s="3"/>
      <c r="L932" s="3"/>
      <c r="M932" s="3"/>
      <c r="Y932" s="3"/>
    </row>
    <row r="933" spans="9:25" ht="12.75" x14ac:dyDescent="0.35">
      <c r="I933" s="3"/>
      <c r="J933" s="3"/>
      <c r="K933" s="3"/>
      <c r="L933" s="3"/>
      <c r="M933" s="3"/>
      <c r="Y933" s="3"/>
    </row>
    <row r="934" spans="9:25" ht="12.75" x14ac:dyDescent="0.35">
      <c r="I934" s="3"/>
      <c r="J934" s="3"/>
      <c r="K934" s="3"/>
      <c r="L934" s="3"/>
      <c r="M934" s="3"/>
      <c r="Y934" s="3"/>
    </row>
    <row r="935" spans="9:25" ht="12.75" x14ac:dyDescent="0.35">
      <c r="I935" s="3"/>
      <c r="J935" s="3"/>
      <c r="K935" s="3"/>
      <c r="L935" s="3"/>
      <c r="M935" s="3"/>
      <c r="Y935" s="3"/>
    </row>
    <row r="936" spans="9:25" ht="12.75" x14ac:dyDescent="0.35">
      <c r="I936" s="3"/>
      <c r="J936" s="3"/>
      <c r="K936" s="3"/>
      <c r="L936" s="3"/>
      <c r="M936" s="3"/>
      <c r="Y936" s="3"/>
    </row>
    <row r="937" spans="9:25" ht="12.75" x14ac:dyDescent="0.35">
      <c r="I937" s="3"/>
      <c r="J937" s="3"/>
      <c r="K937" s="3"/>
      <c r="L937" s="3"/>
      <c r="M937" s="3"/>
      <c r="Y937" s="3"/>
    </row>
    <row r="938" spans="9:25" ht="12.75" x14ac:dyDescent="0.35">
      <c r="I938" s="3"/>
      <c r="J938" s="3"/>
      <c r="K938" s="3"/>
      <c r="L938" s="3"/>
      <c r="M938" s="3"/>
      <c r="Y938" s="3"/>
    </row>
    <row r="939" spans="9:25" ht="12.75" x14ac:dyDescent="0.35">
      <c r="I939" s="3"/>
      <c r="J939" s="3"/>
      <c r="K939" s="3"/>
      <c r="L939" s="3"/>
      <c r="M939" s="3"/>
      <c r="Y939" s="3"/>
    </row>
    <row r="940" spans="9:25" ht="12.75" x14ac:dyDescent="0.35">
      <c r="I940" s="3"/>
      <c r="J940" s="3"/>
      <c r="K940" s="3"/>
      <c r="L940" s="3"/>
      <c r="M940" s="3"/>
      <c r="Y940" s="3"/>
    </row>
    <row r="941" spans="9:25" ht="12.75" x14ac:dyDescent="0.35">
      <c r="I941" s="3"/>
      <c r="J941" s="3"/>
      <c r="K941" s="3"/>
      <c r="L941" s="3"/>
      <c r="M941" s="3"/>
      <c r="Y941" s="3"/>
    </row>
    <row r="942" spans="9:25" ht="12.75" x14ac:dyDescent="0.35">
      <c r="I942" s="3"/>
      <c r="J942" s="3"/>
      <c r="K942" s="3"/>
      <c r="L942" s="3"/>
      <c r="M942" s="3"/>
      <c r="Y942" s="3"/>
    </row>
    <row r="943" spans="9:25" ht="12.75" x14ac:dyDescent="0.35">
      <c r="I943" s="3"/>
      <c r="J943" s="3"/>
      <c r="K943" s="3"/>
      <c r="L943" s="3"/>
      <c r="M943" s="3"/>
      <c r="Y943" s="3"/>
    </row>
    <row r="944" spans="9:25" ht="12.75" x14ac:dyDescent="0.35">
      <c r="I944" s="3"/>
      <c r="J944" s="3"/>
      <c r="K944" s="3"/>
      <c r="L944" s="3"/>
      <c r="M944" s="3"/>
      <c r="Y944" s="3"/>
    </row>
    <row r="945" spans="9:25" ht="12.75" x14ac:dyDescent="0.35">
      <c r="I945" s="3"/>
      <c r="J945" s="3"/>
      <c r="K945" s="3"/>
      <c r="L945" s="3"/>
      <c r="M945" s="3"/>
      <c r="Y945" s="3"/>
    </row>
    <row r="946" spans="9:25" ht="12.75" x14ac:dyDescent="0.35">
      <c r="I946" s="3"/>
      <c r="J946" s="3"/>
      <c r="K946" s="3"/>
      <c r="L946" s="3"/>
      <c r="M946" s="3"/>
      <c r="Y946" s="3"/>
    </row>
    <row r="947" spans="9:25" ht="12.75" x14ac:dyDescent="0.35">
      <c r="I947" s="3"/>
      <c r="J947" s="3"/>
      <c r="K947" s="3"/>
      <c r="L947" s="3"/>
      <c r="M947" s="3"/>
      <c r="Y947" s="3"/>
    </row>
    <row r="948" spans="9:25" ht="12.75" x14ac:dyDescent="0.35">
      <c r="I948" s="3"/>
      <c r="J948" s="3"/>
      <c r="K948" s="3"/>
      <c r="L948" s="3"/>
      <c r="M948" s="3"/>
      <c r="Y948" s="3"/>
    </row>
    <row r="949" spans="9:25" ht="12.75" x14ac:dyDescent="0.35">
      <c r="I949" s="3"/>
      <c r="J949" s="3"/>
      <c r="K949" s="3"/>
      <c r="L949" s="3"/>
      <c r="M949" s="3"/>
      <c r="Y949" s="3"/>
    </row>
    <row r="950" spans="9:25" ht="12.75" x14ac:dyDescent="0.35">
      <c r="I950" s="3"/>
      <c r="J950" s="3"/>
      <c r="K950" s="3"/>
      <c r="L950" s="3"/>
      <c r="M950" s="3"/>
      <c r="Y950" s="3"/>
    </row>
    <row r="951" spans="9:25" ht="12.75" x14ac:dyDescent="0.35">
      <c r="I951" s="3"/>
      <c r="J951" s="3"/>
      <c r="K951" s="3"/>
      <c r="L951" s="3"/>
      <c r="M951" s="3"/>
      <c r="Y951" s="3"/>
    </row>
    <row r="952" spans="9:25" ht="12.75" x14ac:dyDescent="0.35">
      <c r="I952" s="3"/>
      <c r="J952" s="3"/>
      <c r="K952" s="3"/>
      <c r="L952" s="3"/>
      <c r="M952" s="3"/>
      <c r="Y952" s="3"/>
    </row>
    <row r="953" spans="9:25" ht="12.75" x14ac:dyDescent="0.35">
      <c r="I953" s="3"/>
      <c r="J953" s="3"/>
      <c r="K953" s="3"/>
      <c r="L953" s="3"/>
      <c r="M953" s="3"/>
      <c r="Y953" s="3"/>
    </row>
    <row r="954" spans="9:25" ht="12.75" x14ac:dyDescent="0.35">
      <c r="I954" s="3"/>
      <c r="J954" s="3"/>
      <c r="K954" s="3"/>
      <c r="L954" s="3"/>
      <c r="M954" s="3"/>
      <c r="Y954" s="3"/>
    </row>
    <row r="955" spans="9:25" ht="12.75" x14ac:dyDescent="0.35">
      <c r="I955" s="3"/>
      <c r="J955" s="3"/>
      <c r="K955" s="3"/>
      <c r="L955" s="3"/>
      <c r="M955" s="3"/>
      <c r="Y955" s="3"/>
    </row>
    <row r="956" spans="9:25" ht="12.75" x14ac:dyDescent="0.35">
      <c r="I956" s="3"/>
      <c r="J956" s="3"/>
      <c r="K956" s="3"/>
      <c r="L956" s="3"/>
      <c r="M956" s="3"/>
      <c r="Y956" s="3"/>
    </row>
    <row r="957" spans="9:25" ht="12.75" x14ac:dyDescent="0.35">
      <c r="I957" s="3"/>
      <c r="J957" s="3"/>
      <c r="K957" s="3"/>
      <c r="L957" s="3"/>
      <c r="M957" s="3"/>
      <c r="Y957" s="3"/>
    </row>
    <row r="958" spans="9:25" ht="12.75" x14ac:dyDescent="0.35">
      <c r="I958" s="3"/>
      <c r="J958" s="3"/>
      <c r="K958" s="3"/>
      <c r="L958" s="3"/>
      <c r="M958" s="3"/>
      <c r="Y958" s="3"/>
    </row>
    <row r="959" spans="9:25" ht="12.75" x14ac:dyDescent="0.35">
      <c r="I959" s="3"/>
      <c r="J959" s="3"/>
      <c r="K959" s="3"/>
      <c r="L959" s="3"/>
      <c r="M959" s="3"/>
      <c r="Y959" s="3"/>
    </row>
    <row r="960" spans="9:25" ht="12.75" x14ac:dyDescent="0.35">
      <c r="I960" s="3"/>
      <c r="J960" s="3"/>
      <c r="K960" s="3"/>
      <c r="L960" s="3"/>
      <c r="M960" s="3"/>
      <c r="Y960" s="3"/>
    </row>
    <row r="961" spans="9:25" ht="12.75" x14ac:dyDescent="0.35">
      <c r="I961" s="3"/>
      <c r="J961" s="3"/>
      <c r="K961" s="3"/>
      <c r="L961" s="3"/>
      <c r="M961" s="3"/>
      <c r="Y961" s="3"/>
    </row>
    <row r="962" spans="9:25" ht="12.75" x14ac:dyDescent="0.35">
      <c r="I962" s="3"/>
      <c r="J962" s="3"/>
      <c r="K962" s="3"/>
      <c r="L962" s="3"/>
      <c r="M962" s="3"/>
      <c r="Y962" s="3"/>
    </row>
    <row r="963" spans="9:25" ht="12.75" x14ac:dyDescent="0.35">
      <c r="I963" s="3"/>
      <c r="J963" s="3"/>
      <c r="K963" s="3"/>
      <c r="L963" s="3"/>
      <c r="M963" s="3"/>
      <c r="Y963" s="3"/>
    </row>
    <row r="964" spans="9:25" ht="12.75" x14ac:dyDescent="0.35">
      <c r="I964" s="3"/>
      <c r="J964" s="3"/>
      <c r="K964" s="3"/>
      <c r="L964" s="3"/>
      <c r="M964" s="3"/>
      <c r="Y964" s="3"/>
    </row>
    <row r="965" spans="9:25" ht="12.75" x14ac:dyDescent="0.35">
      <c r="I965" s="3"/>
      <c r="J965" s="3"/>
      <c r="K965" s="3"/>
      <c r="L965" s="3"/>
      <c r="M965" s="3"/>
      <c r="Y965" s="3"/>
    </row>
    <row r="966" spans="9:25" ht="12.75" x14ac:dyDescent="0.35">
      <c r="I966" s="3"/>
      <c r="J966" s="3"/>
      <c r="K966" s="3"/>
      <c r="L966" s="3"/>
      <c r="M966" s="3"/>
      <c r="Y966" s="3"/>
    </row>
    <row r="967" spans="9:25" ht="12.75" x14ac:dyDescent="0.35">
      <c r="I967" s="3"/>
      <c r="J967" s="3"/>
      <c r="K967" s="3"/>
      <c r="L967" s="3"/>
      <c r="M967" s="3"/>
      <c r="Y967" s="3"/>
    </row>
    <row r="968" spans="9:25" ht="12.75" x14ac:dyDescent="0.35">
      <c r="I968" s="3"/>
      <c r="J968" s="3"/>
      <c r="K968" s="3"/>
      <c r="L968" s="3"/>
      <c r="M968" s="3"/>
      <c r="Y968" s="3"/>
    </row>
    <row r="969" spans="9:25" ht="12.75" x14ac:dyDescent="0.35">
      <c r="I969" s="3"/>
      <c r="J969" s="3"/>
      <c r="K969" s="3"/>
      <c r="L969" s="3"/>
      <c r="M969" s="3"/>
      <c r="Y969" s="3"/>
    </row>
    <row r="970" spans="9:25" ht="12.75" x14ac:dyDescent="0.35">
      <c r="I970" s="3"/>
      <c r="J970" s="3"/>
      <c r="K970" s="3"/>
      <c r="L970" s="3"/>
      <c r="M970" s="3"/>
      <c r="Y970" s="3"/>
    </row>
    <row r="971" spans="9:25" ht="12.75" x14ac:dyDescent="0.35">
      <c r="I971" s="3"/>
      <c r="J971" s="3"/>
      <c r="K971" s="3"/>
      <c r="L971" s="3"/>
      <c r="M971" s="3"/>
      <c r="Y971" s="3"/>
    </row>
    <row r="972" spans="9:25" ht="12.75" x14ac:dyDescent="0.35">
      <c r="I972" s="3"/>
      <c r="J972" s="3"/>
      <c r="K972" s="3"/>
      <c r="L972" s="3"/>
      <c r="M972" s="3"/>
      <c r="Y972" s="3"/>
    </row>
    <row r="973" spans="9:25" ht="12.75" x14ac:dyDescent="0.35">
      <c r="I973" s="3"/>
      <c r="J973" s="3"/>
      <c r="K973" s="3"/>
      <c r="L973" s="3"/>
      <c r="M973" s="3"/>
      <c r="Y973" s="3"/>
    </row>
    <row r="974" spans="9:25" ht="12.75" x14ac:dyDescent="0.35">
      <c r="I974" s="3"/>
      <c r="J974" s="3"/>
      <c r="K974" s="3"/>
      <c r="L974" s="3"/>
      <c r="M974" s="3"/>
      <c r="Y974" s="3"/>
    </row>
    <row r="975" spans="9:25" ht="12.75" x14ac:dyDescent="0.35">
      <c r="I975" s="3"/>
      <c r="J975" s="3"/>
      <c r="K975" s="3"/>
      <c r="L975" s="3"/>
      <c r="M975" s="3"/>
      <c r="Y975" s="3"/>
    </row>
    <row r="976" spans="9:25" ht="12.75" x14ac:dyDescent="0.35">
      <c r="I976" s="3"/>
      <c r="J976" s="3"/>
      <c r="K976" s="3"/>
      <c r="L976" s="3"/>
      <c r="M976" s="3"/>
      <c r="Y976" s="3"/>
    </row>
    <row r="977" spans="9:25" ht="12.75" x14ac:dyDescent="0.35">
      <c r="I977" s="3"/>
      <c r="J977" s="3"/>
      <c r="K977" s="3"/>
      <c r="L977" s="3"/>
      <c r="M977" s="3"/>
      <c r="Y977" s="3"/>
    </row>
    <row r="978" spans="9:25" ht="12.75" x14ac:dyDescent="0.35">
      <c r="I978" s="3"/>
      <c r="J978" s="3"/>
      <c r="K978" s="3"/>
      <c r="L978" s="3"/>
      <c r="M978" s="3"/>
      <c r="Y978" s="3"/>
    </row>
    <row r="979" spans="9:25" ht="12.75" x14ac:dyDescent="0.35">
      <c r="I979" s="3"/>
      <c r="J979" s="3"/>
      <c r="K979" s="3"/>
      <c r="L979" s="3"/>
      <c r="M979" s="3"/>
      <c r="Y979" s="3"/>
    </row>
    <row r="980" spans="9:25" ht="12.75" x14ac:dyDescent="0.35">
      <c r="I980" s="3"/>
      <c r="J980" s="3"/>
      <c r="K980" s="3"/>
      <c r="L980" s="3"/>
      <c r="M980" s="3"/>
      <c r="Y980" s="3"/>
    </row>
    <row r="981" spans="9:25" ht="12.75" x14ac:dyDescent="0.35">
      <c r="I981" s="3"/>
      <c r="J981" s="3"/>
      <c r="K981" s="3"/>
      <c r="L981" s="3"/>
      <c r="M981" s="3"/>
      <c r="Y981" s="3"/>
    </row>
    <row r="982" spans="9:25" ht="12.75" x14ac:dyDescent="0.35">
      <c r="I982" s="3"/>
      <c r="J982" s="3"/>
      <c r="K982" s="3"/>
      <c r="L982" s="3"/>
      <c r="M982" s="3"/>
      <c r="Y982" s="3"/>
    </row>
    <row r="983" spans="9:25" ht="12.75" x14ac:dyDescent="0.35">
      <c r="I983" s="3"/>
      <c r="J983" s="3"/>
      <c r="K983" s="3"/>
      <c r="L983" s="3"/>
      <c r="M983" s="3"/>
      <c r="Y983" s="3"/>
    </row>
    <row r="984" spans="9:25" ht="12.75" x14ac:dyDescent="0.35">
      <c r="I984" s="3"/>
      <c r="J984" s="3"/>
      <c r="K984" s="3"/>
      <c r="L984" s="3"/>
      <c r="M984" s="3"/>
      <c r="Y984" s="3"/>
    </row>
    <row r="985" spans="9:25" ht="12.75" x14ac:dyDescent="0.35">
      <c r="I985" s="3"/>
      <c r="J985" s="3"/>
      <c r="K985" s="3"/>
      <c r="L985" s="3"/>
      <c r="M985" s="3"/>
      <c r="Y985" s="3"/>
    </row>
    <row r="986" spans="9:25" ht="12.75" x14ac:dyDescent="0.35">
      <c r="I986" s="3"/>
      <c r="J986" s="3"/>
      <c r="K986" s="3"/>
      <c r="L986" s="3"/>
      <c r="M986" s="3"/>
      <c r="Y986" s="3"/>
    </row>
    <row r="987" spans="9:25" ht="12.75" x14ac:dyDescent="0.35">
      <c r="I987" s="3"/>
      <c r="J987" s="3"/>
      <c r="K987" s="3"/>
      <c r="L987" s="3"/>
      <c r="M987" s="3"/>
      <c r="Y987" s="3"/>
    </row>
    <row r="988" spans="9:25" ht="12.75" x14ac:dyDescent="0.35">
      <c r="I988" s="3"/>
      <c r="J988" s="3"/>
      <c r="K988" s="3"/>
      <c r="L988" s="3"/>
      <c r="M988" s="3"/>
      <c r="Y988" s="3"/>
    </row>
    <row r="989" spans="9:25" ht="12.75" x14ac:dyDescent="0.35">
      <c r="I989" s="3"/>
      <c r="J989" s="3"/>
      <c r="K989" s="3"/>
      <c r="L989" s="3"/>
      <c r="M989" s="3"/>
      <c r="Y989" s="3"/>
    </row>
    <row r="990" spans="9:25" ht="12.75" x14ac:dyDescent="0.35">
      <c r="I990" s="3"/>
      <c r="J990" s="3"/>
      <c r="K990" s="3"/>
      <c r="L990" s="3"/>
      <c r="M990" s="3"/>
      <c r="Y990" s="3"/>
    </row>
    <row r="991" spans="9:25" ht="12.75" x14ac:dyDescent="0.35">
      <c r="I991" s="3"/>
      <c r="J991" s="3"/>
      <c r="K991" s="3"/>
      <c r="L991" s="3"/>
      <c r="M991" s="3"/>
      <c r="Y991" s="3"/>
    </row>
    <row r="992" spans="9:25" ht="12.75" x14ac:dyDescent="0.35">
      <c r="I992" s="3"/>
      <c r="J992" s="3"/>
      <c r="K992" s="3"/>
      <c r="L992" s="3"/>
      <c r="M992" s="3"/>
      <c r="Y992" s="3"/>
    </row>
    <row r="993" spans="9:25" ht="12.75" x14ac:dyDescent="0.35">
      <c r="I993" s="3"/>
      <c r="J993" s="3"/>
      <c r="K993" s="3"/>
      <c r="L993" s="3"/>
      <c r="M993" s="3"/>
      <c r="Y993" s="3"/>
    </row>
    <row r="994" spans="9:25" ht="12.75" x14ac:dyDescent="0.35">
      <c r="I994" s="3"/>
      <c r="J994" s="3"/>
      <c r="K994" s="3"/>
      <c r="L994" s="3"/>
      <c r="M994" s="3"/>
      <c r="Y994" s="3"/>
    </row>
    <row r="995" spans="9:25" ht="12.75" x14ac:dyDescent="0.35">
      <c r="I995" s="3"/>
      <c r="J995" s="3"/>
      <c r="K995" s="3"/>
      <c r="L995" s="3"/>
      <c r="M995" s="3"/>
      <c r="Y995" s="3"/>
    </row>
    <row r="996" spans="9:25" ht="12.75" x14ac:dyDescent="0.35">
      <c r="I996" s="3"/>
      <c r="J996" s="3"/>
      <c r="K996" s="3"/>
      <c r="L996" s="3"/>
      <c r="M996" s="3"/>
      <c r="Y996" s="3"/>
    </row>
    <row r="997" spans="9:25" ht="12.75" x14ac:dyDescent="0.35">
      <c r="I997" s="3"/>
      <c r="J997" s="3"/>
      <c r="K997" s="3"/>
      <c r="L997" s="3"/>
      <c r="M997" s="3"/>
      <c r="Y997" s="3"/>
    </row>
    <row r="998" spans="9:25" ht="12.75" x14ac:dyDescent="0.35">
      <c r="I998" s="3"/>
      <c r="J998" s="3"/>
      <c r="K998" s="3"/>
      <c r="L998" s="3"/>
      <c r="M998" s="3"/>
      <c r="Y998" s="3"/>
    </row>
    <row r="999" spans="9:25" ht="12.75" x14ac:dyDescent="0.35">
      <c r="I999" s="3"/>
      <c r="J999" s="3"/>
      <c r="K999" s="3"/>
      <c r="L999" s="3"/>
      <c r="M999" s="3"/>
      <c r="Y9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Brandie L</dc:creator>
  <cp:lastModifiedBy>Brandie L</cp:lastModifiedBy>
  <dcterms:created xsi:type="dcterms:W3CDTF">2024-05-20T18:06:47Z</dcterms:created>
  <dcterms:modified xsi:type="dcterms:W3CDTF">2025-11-05T23:35:26Z</dcterms:modified>
</cp:coreProperties>
</file>